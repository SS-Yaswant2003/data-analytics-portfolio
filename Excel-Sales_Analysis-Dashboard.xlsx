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pivotTables/pivotTable10.xml" ContentType="application/vnd.openxmlformats-officedocument.spreadsheetml.pivotTable+xml"/>
  <Override PartName="/xl/drawings/drawing9.xml" ContentType="application/vnd.openxmlformats-officedocument.drawing+xml"/>
  <Override PartName="/xl/slicers/slicer3.xml" ContentType="application/vnd.ms-excel.slicer+xml"/>
  <Override PartName="/xl/drawings/drawing10.xml" ContentType="application/vnd.openxmlformats-officedocument.drawing+xml"/>
  <Override PartName="/xl/slicers/slicer4.xml" ContentType="application/vnd.ms-excel.slicer+xml"/>
  <Override PartName="/xl/timelines/timeline2.xml" ContentType="application/vnd.ms-excel.timelin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Yaswanth S S\Downloads\"/>
    </mc:Choice>
  </mc:AlternateContent>
  <xr:revisionPtr revIDLastSave="0" documentId="13_ncr:1_{D51943DF-A7CA-4FB5-B4C9-73BF8F40E776}" xr6:coauthVersionLast="47" xr6:coauthVersionMax="47" xr10:uidLastSave="{00000000-0000-0000-0000-000000000000}"/>
  <bookViews>
    <workbookView xWindow="-108" yWindow="-108" windowWidth="23256" windowHeight="12456" firstSheet="2" activeTab="11" xr2:uid="{00000000-000D-0000-FFFF-FFFF00000000}"/>
  </bookViews>
  <sheets>
    <sheet name="SalesData" sheetId="18" r:id="rId1"/>
    <sheet name="Pivot 1" sheetId="30" r:id="rId2"/>
    <sheet name="Pivot 2" sheetId="31" r:id="rId3"/>
    <sheet name="Pivot 3" sheetId="23" r:id="rId4"/>
    <sheet name="Pivot 4" sheetId="22" r:id="rId5"/>
    <sheet name="Pivot 5" sheetId="32" r:id="rId6"/>
    <sheet name="Pivot 6" sheetId="33" r:id="rId7"/>
    <sheet name="pivot 7" sheetId="25" r:id="rId8"/>
    <sheet name="pivot 8" sheetId="26" r:id="rId9"/>
    <sheet name="slicer 1" sheetId="27" r:id="rId10"/>
    <sheet name="slicer 2" sheetId="28" r:id="rId11"/>
    <sheet name="Dashboard" sheetId="34" r:id="rId12"/>
  </sheets>
  <definedNames>
    <definedName name="NativeTimeline_Order_Date">#N/A</definedName>
    <definedName name="Slicer_Category">#N/A</definedName>
    <definedName name="Slicer_Category1">#N/A</definedName>
    <definedName name="Slicer_Region">#N/A</definedName>
    <definedName name="Slicer_Region1">#N/A</definedName>
    <definedName name="Slicer_Salesperson1">#N/A</definedName>
    <definedName name="Slicer_State1">#N/A</definedName>
  </definedNames>
  <calcPr calcId="191029"/>
  <pivotCaches>
    <pivotCache cacheId="0" r:id="rId13"/>
    <pivotCache cacheId="1" r:id="rId14"/>
    <pivotCache cacheId="2" r:id="rId15"/>
  </pivotCaches>
  <extLst>
    <ext xmlns:x14="http://schemas.microsoft.com/office/spreadsheetml/2009/9/main" uri="{BBE1A952-AA13-448e-AADC-164F8A28A991}">
      <x14:slicerCaches>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8" l="1"/>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B64" i="18"/>
  <c r="B65" i="18"/>
  <c r="B66" i="18"/>
  <c r="B67" i="18"/>
  <c r="B68" i="18"/>
  <c r="B69" i="18"/>
  <c r="B70" i="18"/>
  <c r="B71" i="18"/>
  <c r="B72" i="18"/>
  <c r="B73" i="18"/>
  <c r="B74" i="18"/>
  <c r="B75" i="18"/>
  <c r="B76" i="18"/>
  <c r="B77" i="18"/>
  <c r="B78" i="18"/>
  <c r="B79" i="18"/>
  <c r="B80" i="18"/>
  <c r="B81" i="18"/>
  <c r="B82" i="18"/>
  <c r="B83" i="18"/>
  <c r="B84" i="18"/>
  <c r="B85" i="18"/>
  <c r="B86" i="18"/>
  <c r="B87" i="18"/>
  <c r="B88" i="18"/>
  <c r="B89" i="18"/>
  <c r="B90" i="18"/>
  <c r="B91" i="18"/>
  <c r="B92" i="18"/>
  <c r="B93" i="18"/>
  <c r="B94" i="18"/>
  <c r="B95" i="18"/>
  <c r="B96" i="18"/>
  <c r="B97" i="18"/>
  <c r="B98" i="18"/>
  <c r="B99" i="18"/>
  <c r="B100" i="18"/>
  <c r="B101" i="18"/>
  <c r="B102" i="18"/>
  <c r="B103" i="18"/>
  <c r="B104" i="18"/>
  <c r="B105" i="18"/>
  <c r="B106" i="18"/>
  <c r="B107" i="18"/>
  <c r="B108" i="18"/>
  <c r="B109" i="18"/>
  <c r="B110" i="18"/>
  <c r="B111" i="18"/>
  <c r="B112" i="18"/>
  <c r="B113" i="18"/>
  <c r="B114" i="18"/>
  <c r="B115" i="18"/>
  <c r="B116" i="18"/>
  <c r="B117" i="18"/>
  <c r="B118" i="18"/>
  <c r="B119" i="18"/>
  <c r="B120" i="18"/>
  <c r="B121" i="18"/>
  <c r="B122" i="18"/>
  <c r="B123" i="18"/>
  <c r="B124" i="18"/>
  <c r="B125" i="18"/>
  <c r="B126" i="18"/>
  <c r="B127" i="18"/>
  <c r="B128" i="18"/>
  <c r="B129" i="18"/>
  <c r="B130" i="18"/>
  <c r="B131" i="18"/>
  <c r="B132" i="18"/>
  <c r="B133" i="18"/>
  <c r="B134" i="18"/>
  <c r="B135" i="18"/>
  <c r="B136" i="18"/>
  <c r="B137" i="18"/>
  <c r="B138" i="18"/>
  <c r="B139" i="18"/>
  <c r="B140" i="18"/>
  <c r="B141" i="18"/>
  <c r="B142" i="18"/>
  <c r="B143" i="18"/>
  <c r="B144" i="18"/>
  <c r="B145" i="18"/>
  <c r="B146" i="18"/>
  <c r="B147" i="18"/>
  <c r="B148" i="18"/>
  <c r="B149" i="18"/>
  <c r="B150" i="18"/>
  <c r="B151" i="18"/>
  <c r="B152" i="18"/>
  <c r="B153" i="18"/>
  <c r="B154" i="18"/>
  <c r="B155" i="18"/>
  <c r="B156" i="18"/>
  <c r="B157" i="18"/>
  <c r="B158" i="18"/>
  <c r="B159" i="18"/>
  <c r="B160" i="18"/>
  <c r="B161" i="18"/>
  <c r="B162" i="18"/>
  <c r="B163" i="18"/>
  <c r="B164" i="18"/>
  <c r="B165" i="18"/>
  <c r="B166" i="18"/>
  <c r="B167" i="18"/>
  <c r="B168" i="18"/>
  <c r="B169" i="18"/>
  <c r="B170" i="18"/>
  <c r="B171" i="18"/>
  <c r="B172" i="18"/>
  <c r="B173" i="18"/>
  <c r="B174" i="18"/>
  <c r="B175" i="18"/>
  <c r="B176" i="18"/>
  <c r="B177" i="18"/>
  <c r="B178" i="18"/>
  <c r="B179" i="18"/>
  <c r="B180" i="18"/>
  <c r="B181" i="18"/>
  <c r="B182" i="18"/>
  <c r="B183" i="18"/>
  <c r="B184" i="18"/>
  <c r="B185" i="18"/>
  <c r="B186" i="18"/>
  <c r="B187" i="18"/>
  <c r="B188" i="18"/>
  <c r="B189" i="18"/>
  <c r="B190" i="18"/>
  <c r="B191" i="18"/>
  <c r="B192" i="18"/>
  <c r="B193" i="18"/>
  <c r="B194" i="18"/>
  <c r="B195" i="18"/>
  <c r="B196" i="18"/>
  <c r="B197" i="18"/>
  <c r="B198" i="18"/>
  <c r="B199" i="18"/>
  <c r="B200" i="18"/>
  <c r="B201" i="18"/>
  <c r="B202" i="18"/>
  <c r="B203" i="18"/>
  <c r="B204" i="18"/>
  <c r="B205" i="18"/>
  <c r="B206" i="18"/>
  <c r="B207" i="18"/>
  <c r="B208" i="18"/>
  <c r="B209" i="18"/>
  <c r="B210" i="18"/>
  <c r="B211" i="18"/>
  <c r="B212" i="18"/>
  <c r="B213" i="18"/>
  <c r="B214" i="18"/>
  <c r="B215" i="18"/>
  <c r="B216" i="18"/>
  <c r="B217" i="18"/>
  <c r="B218" i="18"/>
  <c r="B219" i="18"/>
  <c r="B220" i="18"/>
  <c r="B221" i="18"/>
  <c r="B222" i="18"/>
  <c r="B223" i="18"/>
  <c r="B224" i="18"/>
  <c r="B225" i="18"/>
  <c r="B226" i="18"/>
  <c r="B227" i="18"/>
  <c r="B228" i="18"/>
  <c r="B229" i="18"/>
  <c r="B230" i="18"/>
  <c r="B231" i="18"/>
  <c r="B232" i="18"/>
  <c r="B233" i="18"/>
  <c r="B234" i="18"/>
  <c r="B235" i="18"/>
  <c r="B236" i="18"/>
  <c r="B237" i="18"/>
  <c r="B238" i="18"/>
  <c r="B239" i="18"/>
  <c r="B240" i="18"/>
  <c r="B241" i="18"/>
  <c r="B242" i="18"/>
  <c r="B243" i="18"/>
  <c r="B244" i="18"/>
  <c r="B245" i="18"/>
  <c r="B246" i="18"/>
  <c r="B247" i="18"/>
  <c r="B248" i="18"/>
  <c r="B249" i="18"/>
  <c r="B250" i="18"/>
  <c r="B251" i="18"/>
  <c r="B252" i="18"/>
  <c r="B253" i="18"/>
  <c r="B254" i="18"/>
  <c r="B255" i="18"/>
  <c r="B256" i="18"/>
  <c r="B257" i="18"/>
  <c r="B258" i="18"/>
  <c r="B259" i="18"/>
  <c r="B260" i="18"/>
  <c r="B261" i="18"/>
  <c r="B262" i="18"/>
  <c r="B263" i="18"/>
  <c r="B264" i="18"/>
  <c r="B265" i="18"/>
  <c r="B266" i="18"/>
  <c r="B267" i="18"/>
  <c r="B268" i="18"/>
  <c r="B269" i="18"/>
  <c r="B270" i="18"/>
  <c r="B271" i="18"/>
  <c r="B272" i="18"/>
  <c r="B273" i="18"/>
  <c r="B274" i="18"/>
  <c r="B275" i="18"/>
  <c r="B276" i="18"/>
  <c r="B277" i="18"/>
  <c r="B278" i="18"/>
  <c r="B279" i="18"/>
  <c r="B280" i="18"/>
  <c r="B281" i="18"/>
  <c r="B282" i="18"/>
  <c r="B283" i="18"/>
  <c r="B284" i="18"/>
  <c r="B285" i="18"/>
  <c r="B286" i="18"/>
  <c r="B287" i="18"/>
  <c r="B288" i="18"/>
  <c r="B289" i="18"/>
  <c r="B290" i="18"/>
  <c r="B291" i="18"/>
  <c r="B292" i="18"/>
  <c r="B293" i="18"/>
  <c r="B294" i="18"/>
  <c r="B295" i="18"/>
  <c r="B296" i="18"/>
  <c r="B297" i="18"/>
  <c r="B298" i="18"/>
  <c r="B299" i="18"/>
  <c r="B300" i="18"/>
  <c r="B301" i="18"/>
  <c r="B302" i="18"/>
  <c r="B303" i="18"/>
  <c r="B304" i="18"/>
  <c r="B305" i="18"/>
  <c r="B306" i="18"/>
  <c r="B307" i="18"/>
  <c r="B308" i="18"/>
  <c r="B309" i="18"/>
  <c r="B310" i="18"/>
  <c r="B311" i="18"/>
  <c r="B312" i="18"/>
  <c r="B313" i="18"/>
  <c r="B314" i="18"/>
  <c r="B315" i="18"/>
  <c r="B316" i="18"/>
  <c r="B317" i="18"/>
  <c r="B318" i="18"/>
  <c r="B319" i="18"/>
  <c r="B320" i="18"/>
  <c r="B321" i="18"/>
  <c r="B322" i="18"/>
  <c r="B323" i="18"/>
  <c r="B324" i="18"/>
  <c r="B325" i="18"/>
  <c r="B326" i="18"/>
  <c r="B327" i="18"/>
  <c r="B328" i="18"/>
  <c r="B329" i="18"/>
  <c r="B330" i="18"/>
  <c r="B331" i="18"/>
  <c r="B332" i="18"/>
  <c r="B333" i="18"/>
  <c r="B334" i="18"/>
  <c r="B335" i="18"/>
  <c r="B336" i="18"/>
  <c r="B337" i="18"/>
  <c r="B338" i="18"/>
  <c r="B339" i="18"/>
  <c r="B340" i="18"/>
  <c r="B341" i="18"/>
  <c r="B342" i="18"/>
  <c r="B343" i="18"/>
  <c r="B344" i="18"/>
  <c r="B345" i="18"/>
  <c r="B346" i="18"/>
  <c r="B347" i="18"/>
  <c r="B348" i="18"/>
  <c r="B349" i="18"/>
  <c r="B350" i="18"/>
  <c r="B351" i="18"/>
  <c r="B352" i="18"/>
  <c r="B353" i="18"/>
  <c r="B354" i="18"/>
  <c r="B355" i="18"/>
  <c r="B356" i="18"/>
  <c r="B357" i="18"/>
  <c r="B358" i="18"/>
  <c r="B359" i="18"/>
  <c r="B360" i="18"/>
  <c r="B361" i="18"/>
  <c r="B362" i="18"/>
  <c r="B363" i="18"/>
  <c r="B364" i="18"/>
  <c r="B365" i="18"/>
  <c r="B366" i="18"/>
  <c r="B367" i="18"/>
  <c r="B368" i="18"/>
  <c r="B369" i="18"/>
  <c r="B370" i="18"/>
  <c r="B371" i="18"/>
  <c r="B372" i="18"/>
  <c r="B373" i="18"/>
  <c r="B374" i="18"/>
  <c r="B375" i="18"/>
  <c r="B376" i="18"/>
  <c r="B377" i="18"/>
  <c r="B378" i="18"/>
  <c r="B379" i="18"/>
  <c r="B380" i="18"/>
  <c r="B381" i="18"/>
  <c r="B382" i="18"/>
  <c r="B383" i="18"/>
  <c r="B384" i="18"/>
  <c r="B385" i="18"/>
  <c r="B386" i="18"/>
  <c r="B387" i="18"/>
  <c r="B388" i="18"/>
  <c r="B389" i="18"/>
  <c r="B390" i="18"/>
  <c r="B391" i="18"/>
  <c r="B392" i="18"/>
  <c r="B393" i="18"/>
  <c r="B394" i="18"/>
  <c r="B395" i="18"/>
  <c r="B396" i="18"/>
  <c r="B397" i="18"/>
  <c r="B398" i="18"/>
  <c r="B399" i="18"/>
  <c r="B400" i="18"/>
  <c r="B401" i="18"/>
  <c r="B402" i="18"/>
  <c r="B403" i="18"/>
  <c r="B404" i="18"/>
  <c r="B405" i="18"/>
  <c r="B406" i="18"/>
  <c r="B407" i="18"/>
  <c r="B408" i="18"/>
  <c r="B409" i="18"/>
  <c r="B410" i="18"/>
  <c r="B411" i="18"/>
  <c r="B412" i="18"/>
  <c r="B413" i="18"/>
  <c r="B414" i="18"/>
  <c r="B415" i="18"/>
  <c r="B416" i="18"/>
  <c r="B417" i="18"/>
  <c r="B418" i="18"/>
  <c r="B419" i="18"/>
  <c r="B420" i="18"/>
  <c r="B421" i="18"/>
  <c r="B422" i="18"/>
  <c r="B423" i="18"/>
  <c r="B424" i="18"/>
  <c r="B425" i="18"/>
  <c r="B426" i="18"/>
  <c r="B427" i="18"/>
  <c r="B428" i="18"/>
  <c r="B429" i="18"/>
  <c r="B430" i="18"/>
  <c r="B431" i="18"/>
  <c r="B432" i="18"/>
  <c r="B433" i="18"/>
  <c r="B434" i="18"/>
  <c r="B435" i="18"/>
  <c r="B436" i="18"/>
  <c r="B437" i="18"/>
  <c r="B438" i="18"/>
  <c r="B439" i="18"/>
  <c r="B440" i="18"/>
  <c r="B441" i="18"/>
  <c r="B442" i="18"/>
  <c r="B443" i="18"/>
  <c r="B444" i="18"/>
  <c r="B445" i="18"/>
  <c r="B446" i="18"/>
  <c r="B447" i="18"/>
  <c r="B448" i="18"/>
  <c r="B449" i="18"/>
  <c r="B450" i="18"/>
  <c r="B451" i="18"/>
  <c r="B452" i="18"/>
  <c r="B453" i="18"/>
  <c r="B454" i="18"/>
  <c r="B455" i="18"/>
  <c r="B456" i="18"/>
  <c r="B457" i="18"/>
  <c r="B458" i="18"/>
  <c r="B459" i="18"/>
  <c r="B460" i="18"/>
  <c r="B461" i="18"/>
  <c r="B462" i="18"/>
  <c r="B463" i="18"/>
  <c r="B464" i="18"/>
  <c r="B465" i="18"/>
  <c r="B466" i="18"/>
  <c r="B467" i="18"/>
  <c r="B468" i="18"/>
  <c r="B469" i="18"/>
  <c r="B470" i="18"/>
  <c r="B471" i="18"/>
  <c r="B472" i="18"/>
  <c r="B473" i="18"/>
  <c r="B474" i="18"/>
  <c r="B475" i="18"/>
  <c r="B476" i="18"/>
  <c r="B477" i="18"/>
  <c r="B478" i="18"/>
  <c r="B479" i="18"/>
  <c r="B480" i="18"/>
  <c r="B481" i="18"/>
  <c r="B482" i="18"/>
  <c r="B483" i="18"/>
  <c r="B484" i="18"/>
  <c r="B485" i="18"/>
  <c r="B486" i="18"/>
  <c r="B487" i="18"/>
  <c r="B488" i="18"/>
  <c r="B489" i="18"/>
  <c r="B490" i="18"/>
  <c r="B491" i="18"/>
  <c r="B492" i="18"/>
  <c r="B493" i="18"/>
  <c r="B494" i="18"/>
  <c r="B495" i="18"/>
  <c r="B496" i="18"/>
  <c r="B497" i="18"/>
  <c r="B498" i="18"/>
  <c r="B499" i="18"/>
  <c r="B500" i="18"/>
  <c r="B501" i="18"/>
</calcChain>
</file>

<file path=xl/sharedStrings.xml><?xml version="1.0" encoding="utf-8"?>
<sst xmlns="http://schemas.openxmlformats.org/spreadsheetml/2006/main" count="4103" uniqueCount="581">
  <si>
    <t>Order ID</t>
  </si>
  <si>
    <t>Region</t>
  </si>
  <si>
    <t>State</t>
  </si>
  <si>
    <t>Salesperson</t>
  </si>
  <si>
    <t>Customer</t>
  </si>
  <si>
    <t>Category</t>
  </si>
  <si>
    <t>Product</t>
  </si>
  <si>
    <t>Quantity</t>
  </si>
  <si>
    <t>Unit Price</t>
  </si>
  <si>
    <t>Discount %</t>
  </si>
  <si>
    <t>Sales</t>
  </si>
  <si>
    <t>Cost</t>
  </si>
  <si>
    <t>Profit</t>
  </si>
  <si>
    <t>Payment Mode</t>
  </si>
  <si>
    <t>ORD00001</t>
  </si>
  <si>
    <t>West</t>
  </si>
  <si>
    <t>Maharashtra</t>
  </si>
  <si>
    <t>Priya</t>
  </si>
  <si>
    <t>XYZ Ltd</t>
  </si>
  <si>
    <t>Electronics</t>
  </si>
  <si>
    <t>Monitor</t>
  </si>
  <si>
    <t>Cash</t>
  </si>
  <si>
    <t>ORD00002</t>
  </si>
  <si>
    <t>North</t>
  </si>
  <si>
    <t>Haryana</t>
  </si>
  <si>
    <t>Rahul</t>
  </si>
  <si>
    <t>Furniture</t>
  </si>
  <si>
    <t>Office Chair</t>
  </si>
  <si>
    <t>Net Banking</t>
  </si>
  <si>
    <t>ORD00003</t>
  </si>
  <si>
    <t>East</t>
  </si>
  <si>
    <t>Odisha</t>
  </si>
  <si>
    <t>Anita</t>
  </si>
  <si>
    <t>UPI</t>
  </si>
  <si>
    <t>ORD00004</t>
  </si>
  <si>
    <t>Arjun</t>
  </si>
  <si>
    <t>Global Mart</t>
  </si>
  <si>
    <t>Accessories</t>
  </si>
  <si>
    <t>USB Drive</t>
  </si>
  <si>
    <t>ORD00005</t>
  </si>
  <si>
    <t>South</t>
  </si>
  <si>
    <t>Telangana</t>
  </si>
  <si>
    <t>Prime Stores</t>
  </si>
  <si>
    <t>Laptop</t>
  </si>
  <si>
    <t>Card</t>
  </si>
  <si>
    <t>ORD00006</t>
  </si>
  <si>
    <t>ORD00007</t>
  </si>
  <si>
    <t>ORD00008</t>
  </si>
  <si>
    <t>Sneha</t>
  </si>
  <si>
    <t>ORD00009</t>
  </si>
  <si>
    <t>West Bengal</t>
  </si>
  <si>
    <t>Vision Corp</t>
  </si>
  <si>
    <t>Keyboard</t>
  </si>
  <si>
    <t>ORD00010</t>
  </si>
  <si>
    <t>ORD00011</t>
  </si>
  <si>
    <t>Gujarat</t>
  </si>
  <si>
    <t>Headset</t>
  </si>
  <si>
    <t>ORD00012</t>
  </si>
  <si>
    <t>Delhi</t>
  </si>
  <si>
    <t>Kiran</t>
  </si>
  <si>
    <t>ORD00013</t>
  </si>
  <si>
    <t>Karnataka</t>
  </si>
  <si>
    <t>ABC Pvt Ltd</t>
  </si>
  <si>
    <t>ORD00014</t>
  </si>
  <si>
    <t>ORD00015</t>
  </si>
  <si>
    <t>Tech Solutions</t>
  </si>
  <si>
    <t>ORD00016</t>
  </si>
  <si>
    <t>ORD00017</t>
  </si>
  <si>
    <t>ORD00018</t>
  </si>
  <si>
    <t>ORD00019</t>
  </si>
  <si>
    <t>Desk</t>
  </si>
  <si>
    <t>ORD00020</t>
  </si>
  <si>
    <t>Mouse</t>
  </si>
  <si>
    <t>ORD00021</t>
  </si>
  <si>
    <t>ORD00022</t>
  </si>
  <si>
    <t>ORD00023</t>
  </si>
  <si>
    <t>ORD00024</t>
  </si>
  <si>
    <t>ORD00025</t>
  </si>
  <si>
    <t>ORD00026</t>
  </si>
  <si>
    <t>ORD00027</t>
  </si>
  <si>
    <t>ORD00028</t>
  </si>
  <si>
    <t>ORD00029</t>
  </si>
  <si>
    <t>ORD00030</t>
  </si>
  <si>
    <t>ORD00031</t>
  </si>
  <si>
    <t>ORD00032</t>
  </si>
  <si>
    <t>ORD00033</t>
  </si>
  <si>
    <t>ORD00034</t>
  </si>
  <si>
    <t>ORD00035</t>
  </si>
  <si>
    <t>ORD00036</t>
  </si>
  <si>
    <t>ORD00037</t>
  </si>
  <si>
    <t>Punjab</t>
  </si>
  <si>
    <t>ORD00038</t>
  </si>
  <si>
    <t>Tamil Nadu</t>
  </si>
  <si>
    <t>ORD00039</t>
  </si>
  <si>
    <t>ORD00040</t>
  </si>
  <si>
    <t>ORD00041</t>
  </si>
  <si>
    <t>ORD00042</t>
  </si>
  <si>
    <t>ORD00043</t>
  </si>
  <si>
    <t>ORD00044</t>
  </si>
  <si>
    <t>ORD00045</t>
  </si>
  <si>
    <t>ORD00046</t>
  </si>
  <si>
    <t>ORD00047</t>
  </si>
  <si>
    <t>ORD00048</t>
  </si>
  <si>
    <t>ORD00049</t>
  </si>
  <si>
    <t>ORD00050</t>
  </si>
  <si>
    <t>ORD00051</t>
  </si>
  <si>
    <t>ORD00052</t>
  </si>
  <si>
    <t>ORD00053</t>
  </si>
  <si>
    <t>ORD00054</t>
  </si>
  <si>
    <t>ORD00055</t>
  </si>
  <si>
    <t>ORD00056</t>
  </si>
  <si>
    <t>ORD00057</t>
  </si>
  <si>
    <t>ORD00058</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</si>
  <si>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</si>
  <si>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</si>
  <si>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</si>
  <si>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</si>
  <si>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</si>
  <si>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</si>
  <si>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</si>
  <si>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</si>
  <si>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</si>
  <si>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</si>
  <si>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</si>
  <si>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</si>
  <si>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</si>
  <si>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</si>
  <si>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</si>
  <si>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</si>
  <si>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</si>
  <si>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</si>
  <si>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</si>
  <si>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</si>
  <si>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</si>
  <si>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</si>
  <si>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</si>
  <si>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</si>
  <si>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</si>
  <si>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</si>
  <si>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</si>
  <si>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</si>
  <si>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</si>
  <si>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</si>
  <si>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</si>
  <si>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</si>
  <si>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</si>
  <si>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</si>
  <si>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</si>
  <si>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</si>
  <si>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</si>
  <si>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</si>
  <si>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</si>
  <si>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</si>
  <si>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</si>
  <si>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</si>
  <si>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</si>
  <si>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</si>
  <si>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</si>
  <si>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</si>
  <si>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</si>
  <si>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24-Dec-2025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</si>
  <si>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</si>
  <si>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</si>
  <si>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</si>
  <si>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</si>
  <si>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</si>
  <si>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</si>
  <si>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</si>
  <si>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</si>
  <si>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</si>
  <si>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</si>
  <si>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</si>
  <si>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</si>
  <si>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</si>
  <si>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</si>
  <si>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</si>
  <si>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</si>
  <si>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</si>
  <si>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</si>
  <si>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</si>
  <si>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</si>
  <si>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</si>
  <si>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</si>
  <si>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</si>
  <si>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</si>
  <si>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</si>
  <si>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</si>
  <si>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</si>
  <si>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</si>
  <si>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</si>
  <si>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</si>
  <si>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</si>
  <si>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</si>
  <si>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</si>
  <si>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</si>
  <si>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</si>
  <si>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</si>
  <si>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</si>
  <si>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</si>
  <si>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</si>
  <si>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</si>
  <si>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</si>
  <si>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</si>
  <si>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</si>
  <si>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</si>
  <si>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</si>
  <si>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</si>
  <si>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</si>
  <si>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</si>
  <si>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</si>
  <si>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</si>
  <si>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</si>
  <si>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</si>
  <si>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</si>
  <si>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</si>
  <si>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</si>
  <si>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</si>
  <si>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</si>
  <si>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</si>
  <si>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</si>
  <si>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</si>
  <si>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</si>
  <si>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</si>
  <si>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</si>
  <si>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</si>
  <si>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</si>
  <si>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</si>
  <si>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</si>
  <si>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</si>
  <si>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</si>
  <si>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</si>
  <si>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</si>
  <si>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</si>
  <si>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</si>
  <si>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</si>
  <si>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</si>
  <si>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</si>
  <si>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</si>
  <si>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</si>
  <si>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</si>
  <si>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</si>
  <si>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</si>
  <si>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</si>
  <si>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</si>
  <si>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</si>
  <si>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</si>
  <si>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</si>
  <si>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</si>
  <si>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</si>
  <si>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</si>
  <si>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</si>
  <si>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</si>
  <si>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</si>
  <si>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</si>
  <si>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</si>
  <si>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</si>
  <si>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</si>
  <si>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</si>
  <si>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</si>
  <si>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</si>
  <si>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</si>
  <si>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</si>
  <si>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</si>
  <si>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</si>
  <si>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</si>
  <si>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</si>
  <si>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</si>
  <si>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</si>
  <si>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</si>
  <si>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</si>
  <si>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</si>
  <si>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</si>
  <si>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</si>
  <si>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</si>
  <si>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</si>
  <si>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</si>
  <si>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</si>
  <si>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</si>
  <si>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</si>
  <si>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</si>
  <si>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</si>
  <si>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</si>
  <si>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</si>
  <si>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</si>
  <si>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</si>
  <si>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</si>
  <si>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</si>
  <si>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</si>
  <si>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</si>
  <si>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</si>
  <si>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</si>
  <si>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</si>
  <si>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</si>
  <si>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</si>
  <si>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</si>
  <si>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</si>
  <si>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</si>
  <si>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</si>
  <si>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</si>
  <si>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</si>
  <si>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</si>
  <si>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</si>
  <si>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</si>
  <si>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</si>
  <si>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</si>
  <si>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</si>
  <si>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</si>
  <si>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</si>
  <si>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</si>
  <si>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</si>
  <si>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</si>
  <si>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</si>
  <si>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</si>
  <si>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</si>
  <si>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</si>
  <si>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</si>
  <si>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</si>
  <si>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</si>
  <si>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</si>
  <si>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</si>
  <si>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</si>
  <si>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</si>
  <si>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</si>
  <si>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</si>
  <si>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</si>
  <si>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</si>
  <si>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</si>
  <si>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</si>
  <si>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</si>
  <si>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</si>
  <si>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</si>
  <si>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</si>
  <si>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</si>
  <si>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</si>
  <si>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</si>
  <si>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</si>
  <si>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</si>
  <si>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</si>
  <si>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</si>
  <si>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</si>
  <si>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</si>
  <si>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</si>
  <si>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</si>
  <si>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</si>
  <si>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</si>
  <si>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</si>
  <si>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</si>
  <si>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</si>
  <si>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</si>
  <si>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</si>
  <si>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</si>
  <si>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</si>
  <si>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</si>
  <si>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</si>
  <si>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</si>
  <si>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</si>
  <si>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</si>
  <si>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</si>
  <si>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</si>
  <si>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</si>
  <si>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</si>
  <si>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</si>
  <si>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</si>
  <si>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</si>
  <si>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</si>
  <si>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</si>
  <si>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</si>
  <si>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</si>
  <si>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</si>
  <si>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</si>
  <si>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</si>
  <si>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</si>
  <si>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</si>
  <si>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</si>
  <si>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</si>
  <si>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</si>
  <si>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</si>
  <si>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</si>
  <si>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</si>
  <si>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</si>
  <si>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</si>
  <si>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</si>
  <si>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</si>
  <si>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</si>
  <si>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</si>
  <si>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</si>
  <si>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</si>
  <si>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</si>
  <si>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</si>
  <si>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</si>
  <si>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</si>
  <si>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</si>
  <si>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</si>
  <si>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</si>
  <si>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</si>
  <si>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</si>
  <si>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</si>
  <si>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</si>
  <si>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</si>
  <si>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</si>
  <si>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</si>
  <si>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</si>
  <si>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</si>
  <si>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</si>
  <si>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</si>
  <si>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</si>
  <si>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</si>
  <si>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</si>
  <si>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</si>
  <si>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</si>
  <si>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</si>
  <si>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</si>
  <si>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</si>
  <si>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</si>
  <si>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</si>
  <si>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</si>
  <si>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</si>
  <si>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</si>
  <si>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</si>
  <si>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</si>
  <si>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</si>
  <si>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</si>
  <si>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</si>
  <si>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</si>
  <si>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</si>
  <si>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</si>
  <si>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</si>
  <si>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</si>
  <si>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</si>
  <si>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</si>
  <si>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</si>
  <si>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</si>
  <si>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</si>
  <si>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</si>
  <si>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</si>
  <si>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</si>
  <si>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</si>
  <si>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</si>
  <si>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</si>
  <si>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</si>
  <si>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</si>
  <si>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</si>
  <si>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</si>
  <si>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</si>
  <si>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</si>
  <si>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</si>
  <si>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</si>
  <si>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</si>
  <si>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</si>
  <si>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</si>
  <si>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</si>
  <si>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</si>
  <si>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</si>
  <si>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</si>
  <si>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</si>
  <si>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</si>
  <si>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</si>
  <si>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</si>
  <si>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</si>
  <si>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</si>
  <si>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</si>
  <si>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</si>
  <si>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</si>
  <si>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</si>
  <si>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</si>
  <si>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</si>
  <si>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</si>
  <si>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</si>
  <si>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</si>
  <si>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</si>
  <si>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</si>
  <si>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</si>
  <si>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</si>
  <si>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</si>
  <si>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</si>
  <si>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</si>
  <si>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</si>
  <si>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</si>
  <si>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</si>
  <si>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</si>
  <si>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</si>
  <si>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</si>
  <si>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</si>
  <si>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</si>
  <si>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</si>
  <si>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</si>
  <si>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</si>
  <si>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</si>
  <si>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</si>
  <si>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</si>
  <si>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</si>
  <si>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</si>
  <si>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</si>
  <si>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</si>
  <si>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</si>
  <si>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</si>
  <si>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</si>
  <si>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</si>
  <si>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</si>
  <si>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</si>
  <si>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</si>
  <si>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</si>
  <si>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</si>
  <si>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</si>
  <si>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</si>
  <si>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</si>
  <si>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</si>
  <si>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</si>
  <si>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</si>
  <si>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</si>
  <si>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</si>
  <si>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15-Nov-2025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</si>
  <si>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</si>
  <si>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</si>
  <si>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</si>
  <si>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</si>
  <si>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</si>
  <si>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</si>
  <si>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</si>
  <si>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</si>
  <si>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</si>
  <si>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</si>
  <si>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</si>
  <si>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</si>
  <si>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</si>
  <si>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</si>
  <si>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</si>
  <si>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</si>
  <si>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</si>
  <si>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</si>
  <si>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</si>
  <si>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</si>
  <si>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</si>
  <si>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</si>
  <si>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</si>
  <si>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</si>
  <si>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</si>
  <si>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</si>
  <si>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</si>
  <si>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</si>
  <si>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</si>
  <si>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</si>
  <si>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</si>
  <si>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</si>
  <si>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</si>
  <si>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</si>
  <si>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</si>
  <si>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</si>
  <si>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</si>
  <si>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</si>
  <si>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</si>
  <si>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</si>
  <si>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</si>
  <si>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</si>
  <si>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</si>
  <si>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</si>
  <si>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</si>
  <si>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Sum of Sales</t>
  </si>
  <si>
    <t>Row Labels</t>
  </si>
  <si>
    <t>Grand Total</t>
  </si>
  <si>
    <t>Jan</t>
  </si>
  <si>
    <t>Feb</t>
  </si>
  <si>
    <t>Mar</t>
  </si>
  <si>
    <t>Apr</t>
  </si>
  <si>
    <t>May</t>
  </si>
  <si>
    <t>Jun</t>
  </si>
  <si>
    <t>Jul</t>
  </si>
  <si>
    <t>Aug</t>
  </si>
  <si>
    <t>Sep</t>
  </si>
  <si>
    <t>Oct</t>
  </si>
  <si>
    <t>Nov</t>
  </si>
  <si>
    <t>Dec</t>
  </si>
  <si>
    <t xml:space="preserve"> Order Date</t>
  </si>
  <si>
    <t>Date</t>
  </si>
  <si>
    <t>Sum of Profit</t>
  </si>
  <si>
    <t>Product Category</t>
  </si>
  <si>
    <t>Sales Rep</t>
  </si>
  <si>
    <t>Order Date(Month)</t>
  </si>
  <si>
    <t xml:space="preserve">Total Units Sold </t>
  </si>
  <si>
    <t>Region &amp; State</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</si>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</sst>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39]#,##0.00"/>
  </numFmts>
  <fonts count="4" x14ac:knownFonts="1">
    <font>
      <sz val="11"/>
      <color theme="1"/>
      <name val="Calibri"/>
      <family val="2"/>
      <scheme val="minor"/>
    </font>
    <font>
      <sz val="12"/>
      <color theme="1"/>
      <name val="Times New Roman"/>
      <family val="1"/>
    </font>
    <font>
      <b/>
      <sz val="14"/>
      <color theme="0"/>
      <name val="Times New Roman"/>
      <family val="1"/>
    </font>
    <font>
      <b/>
      <sz val="24"/>
      <color theme="1"/>
      <name val="Times New Roman"/>
      <family val="1"/>
    </font>
  </fonts>
  <fills count="5">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15">
    <border>
      <left/>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8">
    <xf numFmtId="0" fontId="0" fillId="0" borderId="0" xfId="0"/>
    <xf numFmtId="0" fontId="2" fillId="2" borderId="1" xfId="0" applyFont="1" applyFill="1" applyBorder="1" applyAlignment="1">
      <alignment horizontal="center"/>
    </xf>
    <xf numFmtId="14" fontId="2" fillId="2" borderId="2" xfId="0" applyNumberFormat="1" applyFont="1" applyFill="1" applyBorder="1" applyAlignment="1">
      <alignment horizontal="center" wrapText="1"/>
    </xf>
    <xf numFmtId="0" fontId="2" fillId="2" borderId="2" xfId="0" applyFont="1" applyFill="1" applyBorder="1" applyAlignment="1">
      <alignment horizontal="center"/>
    </xf>
    <xf numFmtId="0" fontId="1" fillId="3" borderId="3" xfId="0" applyFont="1" applyFill="1" applyBorder="1" applyAlignment="1">
      <alignment horizontal="center"/>
    </xf>
    <xf numFmtId="14" fontId="1" fillId="3" borderId="4" xfId="0" applyNumberFormat="1" applyFont="1" applyFill="1" applyBorder="1" applyAlignment="1">
      <alignment horizontal="center" wrapText="1"/>
    </xf>
    <xf numFmtId="0" fontId="1" fillId="3" borderId="4" xfId="0" applyFont="1" applyFill="1" applyBorder="1" applyAlignment="1">
      <alignment horizontal="center"/>
    </xf>
    <xf numFmtId="0" fontId="1" fillId="4" borderId="3" xfId="0" applyFont="1" applyFill="1" applyBorder="1" applyAlignment="1">
      <alignment horizontal="center"/>
    </xf>
    <xf numFmtId="14" fontId="1" fillId="4" borderId="4" xfId="0" applyNumberFormat="1" applyFont="1" applyFill="1" applyBorder="1" applyAlignment="1">
      <alignment horizontal="center" wrapText="1"/>
    </xf>
    <xf numFmtId="0" fontId="1" fillId="4" borderId="4" xfId="0" applyFont="1" applyFill="1" applyBorder="1" applyAlignment="1">
      <alignment horizontal="center"/>
    </xf>
    <xf numFmtId="2" fontId="2" fillId="2" borderId="2" xfId="0" applyNumberFormat="1" applyFont="1" applyFill="1" applyBorder="1" applyAlignment="1">
      <alignment horizontal="center"/>
    </xf>
    <xf numFmtId="14" fontId="2" fillId="2" borderId="2" xfId="0" applyNumberFormat="1" applyFont="1" applyFill="1" applyBorder="1" applyAlignment="1">
      <alignment horizontal="center"/>
    </xf>
    <xf numFmtId="10" fontId="1" fillId="3" borderId="4" xfId="0" applyNumberFormat="1" applyFont="1" applyFill="1" applyBorder="1" applyAlignment="1">
      <alignment horizontal="center"/>
    </xf>
    <xf numFmtId="2" fontId="1" fillId="3" borderId="4" xfId="0" applyNumberFormat="1" applyFont="1" applyFill="1" applyBorder="1" applyAlignment="1">
      <alignment horizontal="center"/>
    </xf>
    <xf numFmtId="14" fontId="1" fillId="3" borderId="4" xfId="0" applyNumberFormat="1" applyFont="1" applyFill="1" applyBorder="1" applyAlignment="1">
      <alignment horizontal="center"/>
    </xf>
    <xf numFmtId="10" fontId="1" fillId="4" borderId="4" xfId="0" applyNumberFormat="1" applyFont="1" applyFill="1" applyBorder="1" applyAlignment="1">
      <alignment horizontal="center"/>
    </xf>
    <xf numFmtId="2" fontId="1" fillId="4" borderId="4" xfId="0" applyNumberFormat="1" applyFont="1" applyFill="1" applyBorder="1" applyAlignment="1">
      <alignment horizontal="center"/>
    </xf>
    <xf numFmtId="14" fontId="1" fillId="4" borderId="4" xfId="0" applyNumberFormat="1" applyFont="1" applyFill="1" applyBorder="1" applyAlignment="1">
      <alignment horizontal="center"/>
    </xf>
    <xf numFmtId="0" fontId="1" fillId="4" borderId="5" xfId="0" applyFont="1" applyFill="1" applyBorder="1" applyAlignment="1">
      <alignment horizontal="center"/>
    </xf>
    <xf numFmtId="14" fontId="1" fillId="4" borderId="6" xfId="0" applyNumberFormat="1" applyFont="1" applyFill="1" applyBorder="1" applyAlignment="1">
      <alignment horizontal="center" wrapText="1"/>
    </xf>
    <xf numFmtId="0" fontId="1" fillId="4" borderId="6" xfId="0" applyFont="1" applyFill="1" applyBorder="1" applyAlignment="1">
      <alignment horizontal="center"/>
    </xf>
    <xf numFmtId="10" fontId="1" fillId="4" borderId="6" xfId="0" applyNumberFormat="1" applyFont="1" applyFill="1" applyBorder="1" applyAlignment="1">
      <alignment horizontal="center"/>
    </xf>
    <xf numFmtId="2" fontId="1" fillId="4" borderId="6" xfId="0" applyNumberFormat="1" applyFont="1" applyFill="1" applyBorder="1" applyAlignment="1">
      <alignment horizontal="center"/>
    </xf>
    <xf numFmtId="14" fontId="1" fillId="4" borderId="6" xfId="0" applyNumberFormat="1" applyFont="1" applyFill="1" applyBorder="1" applyAlignment="1">
      <alignment horizontal="center"/>
    </xf>
    <xf numFmtId="0" fontId="1" fillId="0" borderId="0" xfId="0" pivotButton="1" applyFont="1" applyAlignment="1">
      <alignment horizontal="center"/>
    </xf>
    <xf numFmtId="0" fontId="1" fillId="0" borderId="0" xfId="0" applyFont="1" applyAlignment="1">
      <alignment horizontal="center"/>
    </xf>
    <xf numFmtId="164" fontId="1" fillId="0" borderId="0" xfId="0" applyNumberFormat="1" applyFont="1" applyAlignment="1">
      <alignment horizontal="center"/>
    </xf>
    <xf numFmtId="14" fontId="1" fillId="0" borderId="0" xfId="0" applyNumberFormat="1" applyFont="1" applyAlignment="1">
      <alignment horizontal="center"/>
    </xf>
    <xf numFmtId="0" fontId="3" fillId="0" borderId="0" xfId="0" applyFont="1"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0" xfId="0" applyFont="1" applyAlignment="1">
      <alignment horizontal="center" vertical="center"/>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3" fillId="0" borderId="14" xfId="0" applyFont="1" applyBorder="1" applyAlignment="1">
      <alignment horizontal="center" vertical="center"/>
    </xf>
  </cellXfs>
  <cellStyles count="1">
    <cellStyle name="Normal" xfId="0" builtinId="0"/>
  </cellStyles>
  <dxfs count="203">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4" formatCode="[$₹-439]#,##0.00"/>
    </dxf>
    <dxf>
      <numFmt numFmtId="164" formatCode="[$₹-439]#,##0.00"/>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3.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6.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[Group-1 Excel Project (2).xlsx]Pivot 1!PivotTable1</c:name>
    <c:fmtId val="6"/>
  </c:pivotSource>
  <c:chart>
    <c:title>
      <c:tx>
        <c:rich>
          <a:bodyPr rot="0" spcFirstLastPara="1" vertOverflow="ellipsis" vert="horz" wrap="square" anchor="ctr" anchorCtr="1"/>
          <a:lstStyle/>
          <a:p>
            <a:pPr>
              <a:defRPr sz="1320" b="1" i="0" u="none" strike="noStrike" kern="1200" baseline="0">
                <a:solidFill>
                  <a:schemeClr val="dk1">
                    <a:lumMod val="75000"/>
                    <a:lumOff val="25000"/>
                  </a:schemeClr>
                </a:solidFill>
                <a:latin typeface="+mn-lt"/>
                <a:ea typeface="+mn-ea"/>
                <a:cs typeface="+mn-cs"/>
              </a:defRPr>
            </a:pPr>
            <a:r>
              <a:rPr lang="en-US"/>
              <a:t>Total Sales by Region</a:t>
            </a:r>
          </a:p>
          <a:p>
            <a:pPr>
              <a:defRPr/>
            </a:pPr>
            <a:endParaRPr lang="en-US"/>
          </a:p>
        </c:rich>
      </c:tx>
      <c:layout>
        <c:manualLayout>
          <c:xMode val="edge"/>
          <c:yMode val="edge"/>
          <c:x val="0.36212536762833136"/>
          <c:y val="6.2809386333726819E-2"/>
        </c:manualLayout>
      </c:layout>
      <c:overlay val="0"/>
      <c:spPr>
        <a:noFill/>
        <a:ln>
          <a:noFill/>
        </a:ln>
        <a:effectLst/>
      </c:spPr>
      <c:txPr>
        <a:bodyPr rot="0" spcFirstLastPara="1" vertOverflow="ellipsis" vert="horz" wrap="square" anchor="ctr" anchorCtr="1"/>
        <a:lstStyle/>
        <a:p>
          <a:pPr>
            <a:defRPr sz="1320" b="1" i="0" u="none" strike="noStrike" kern="1200" baseline="0">
              <a:solidFill>
                <a:schemeClr val="dk1">
                  <a:lumMod val="75000"/>
                  <a:lumOff val="25000"/>
                </a:schemeClr>
              </a:solidFill>
              <a:latin typeface="+mn-lt"/>
              <a:ea typeface="+mn-ea"/>
              <a:cs typeface="+mn-cs"/>
            </a:defRPr>
          </a:pPr>
          <a:endParaRPr lang="en-BB"/>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BB"/>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lt1"/>
                  </a:solidFill>
                  <a:latin typeface="+mn-lt"/>
                  <a:ea typeface="+mn-ea"/>
                  <a:cs typeface="+mn-cs"/>
                </a:defRPr>
              </a:pPr>
              <a:endParaRPr lang="en-BB"/>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46975632514657"/>
          <c:y val="0.20806238505901048"/>
          <c:w val="0.72312270341207352"/>
          <c:h val="0.53774387576552929"/>
        </c:manualLayout>
      </c:layout>
      <c:barChart>
        <c:barDir val="col"/>
        <c:grouping val="clustered"/>
        <c:varyColors val="0"/>
        <c:ser>
          <c:idx val="0"/>
          <c:order val="0"/>
          <c:tx>
            <c:strRef>
              <c:f>'Pivot 1'!$B$3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lt1"/>
                    </a:solidFill>
                    <a:latin typeface="+mn-lt"/>
                    <a:ea typeface="+mn-ea"/>
                    <a:cs typeface="+mn-cs"/>
                  </a:defRPr>
                </a:pPr>
                <a:endParaRPr lang="en-BB"/>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1'!$A$4:$A$8</c:f>
              <c:strCache>
                <c:ptCount val="4"/>
                <c:pt idx="0">
                  <c:v>East</c:v>
                </c:pt>
                <c:pt idx="1">
                  <c:v>North</c:v>
                </c:pt>
                <c:pt idx="2">
                  <c:v>South</c:v>
                </c:pt>
                <c:pt idx="3">
                  <c:v>West</c:v>
                </c:pt>
              </c:strCache>
            </c:strRef>
          </c:cat>
          <c:val>
            <c:numRef>
              <c:f>'Pivot 1'!$B$4:$B$8</c:f>
              <c:numCache>
                <c:formatCode>General</c:formatCode>
                <c:ptCount val="4"/>
                <c:pt idx="0">
                  <c:v>7568885</c:v>
                </c:pt>
                <c:pt idx="1">
                  <c:v>6458590</c:v>
                </c:pt>
                <c:pt idx="2">
                  <c:v>6106145</c:v>
                </c:pt>
                <c:pt idx="3">
                  <c:v>7133380</c:v>
                </c:pt>
              </c:numCache>
            </c:numRef>
          </c:val>
          <c:extLst>
            <c:ext xmlns:c16="http://schemas.microsoft.com/office/drawing/2014/chart" uri="{C3380CC4-5D6E-409C-BE32-E72D297353CC}">
              <c16:uniqueId val="{00000000-FF6A-4A96-8C67-4C9150682B6F}"/>
            </c:ext>
          </c:extLst>
        </c:ser>
        <c:dLbls>
          <c:dLblPos val="inEnd"/>
          <c:showLegendKey val="0"/>
          <c:showVal val="1"/>
          <c:showCatName val="0"/>
          <c:showSerName val="0"/>
          <c:showPercent val="0"/>
          <c:showBubbleSize val="0"/>
        </c:dLbls>
        <c:gapWidth val="65"/>
        <c:axId val="395232815"/>
        <c:axId val="395228015"/>
      </c:barChart>
      <c:catAx>
        <c:axId val="39523281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100" b="0" i="0" u="none" strike="noStrike" kern="1200" cap="all" baseline="0">
                <a:solidFill>
                  <a:schemeClr val="dk1">
                    <a:lumMod val="75000"/>
                    <a:lumOff val="25000"/>
                  </a:schemeClr>
                </a:solidFill>
                <a:latin typeface="+mn-lt"/>
                <a:ea typeface="+mn-ea"/>
                <a:cs typeface="+mn-cs"/>
              </a:defRPr>
            </a:pPr>
            <a:endParaRPr lang="en-BB"/>
          </a:p>
        </c:txPr>
        <c:crossAx val="395228015"/>
        <c:crosses val="autoZero"/>
        <c:auto val="1"/>
        <c:lblAlgn val="ctr"/>
        <c:lblOffset val="100"/>
        <c:noMultiLvlLbl val="0"/>
      </c:catAx>
      <c:valAx>
        <c:axId val="39522801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95232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sz="1100" baseline="0"/>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[Group-1 Excel Project (2).xlsx]Pivot 2!PivotTable2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Sales by Product Category</a:t>
            </a:r>
          </a:p>
        </c:rich>
      </c:tx>
      <c:layout>
        <c:manualLayout>
          <c:xMode val="edge"/>
          <c:yMode val="edge"/>
          <c:x val="0.30030933633295831"/>
          <c:y val="6.666478966648835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BB"/>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BB"/>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pivotFmt>
      <c:pivotFmt>
        <c:idx val="2"/>
        <c:spPr>
          <a:solidFill>
            <a:schemeClr val="accent1">
              <a:alpha val="85000"/>
            </a:schemeClr>
          </a:solidFill>
          <a:ln w="9525" cap="flat" cmpd="sng" algn="ctr">
            <a:solidFill>
              <a:schemeClr val="lt1">
                <a:alpha val="50000"/>
              </a:schemeClr>
            </a:solidFill>
            <a:round/>
          </a:ln>
          <a:effectLst/>
        </c:spPr>
      </c:pivotFmt>
      <c:pivotFmt>
        <c:idx val="3"/>
        <c:spPr>
          <a:solidFill>
            <a:schemeClr val="accent1">
              <a:alpha val="85000"/>
            </a:schemeClr>
          </a:solidFill>
          <a:ln w="9525" cap="flat" cmpd="sng" algn="ctr">
            <a:solidFill>
              <a:schemeClr val="lt1">
                <a:alpha val="50000"/>
              </a:schemeClr>
            </a:solidFill>
            <a:round/>
          </a:ln>
          <a:effectLst/>
        </c:spPr>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BB"/>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2'!$B$3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BB"/>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2'!$A$4:$A$7</c:f>
              <c:strCache>
                <c:ptCount val="3"/>
                <c:pt idx="0">
                  <c:v>Accessories</c:v>
                </c:pt>
                <c:pt idx="1">
                  <c:v>Electronics</c:v>
                </c:pt>
                <c:pt idx="2">
                  <c:v>Furniture</c:v>
                </c:pt>
              </c:strCache>
            </c:strRef>
          </c:cat>
          <c:val>
            <c:numRef>
              <c:f>'Pivot 2'!$B$4:$B$7</c:f>
              <c:numCache>
                <c:formatCode>General</c:formatCode>
                <c:ptCount val="3"/>
                <c:pt idx="0">
                  <c:v>1079625</c:v>
                </c:pt>
                <c:pt idx="1">
                  <c:v>19563075</c:v>
                </c:pt>
                <c:pt idx="2">
                  <c:v>6624300</c:v>
                </c:pt>
              </c:numCache>
            </c:numRef>
          </c:val>
          <c:extLst>
            <c:ext xmlns:c16="http://schemas.microsoft.com/office/drawing/2014/chart" uri="{C3380CC4-5D6E-409C-BE32-E72D297353CC}">
              <c16:uniqueId val="{00000000-E12D-4BB2-9484-DF37A5E199F6}"/>
            </c:ext>
          </c:extLst>
        </c:ser>
        <c:dLbls>
          <c:dLblPos val="inEnd"/>
          <c:showLegendKey val="0"/>
          <c:showVal val="1"/>
          <c:showCatName val="0"/>
          <c:showSerName val="0"/>
          <c:showPercent val="0"/>
          <c:showBubbleSize val="0"/>
        </c:dLbls>
        <c:gapWidth val="65"/>
        <c:axId val="514298399"/>
        <c:axId val="514305119"/>
      </c:barChart>
      <c:catAx>
        <c:axId val="51429839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100" b="0" i="0" u="none" strike="noStrike" kern="1200" cap="all" baseline="0">
                <a:solidFill>
                  <a:schemeClr val="dk1">
                    <a:lumMod val="75000"/>
                    <a:lumOff val="25000"/>
                  </a:schemeClr>
                </a:solidFill>
                <a:latin typeface="+mn-lt"/>
                <a:ea typeface="+mn-ea"/>
                <a:cs typeface="+mn-cs"/>
              </a:defRPr>
            </a:pPr>
            <a:endParaRPr lang="en-BB"/>
          </a:p>
        </c:txPr>
        <c:crossAx val="514305119"/>
        <c:crosses val="autoZero"/>
        <c:auto val="1"/>
        <c:lblAlgn val="ctr"/>
        <c:lblOffset val="100"/>
        <c:noMultiLvlLbl val="0"/>
      </c:catAx>
      <c:valAx>
        <c:axId val="51430511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dk1">
                    <a:lumMod val="75000"/>
                    <a:lumOff val="25000"/>
                  </a:schemeClr>
                </a:solidFill>
                <a:latin typeface="+mn-lt"/>
                <a:ea typeface="+mn-ea"/>
                <a:cs typeface="+mn-cs"/>
              </a:defRPr>
            </a:pPr>
            <a:endParaRPr lang="en-BB"/>
          </a:p>
        </c:txPr>
        <c:crossAx val="51429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[Group-1 Excel Project (2).xlsx]Pivot 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Total Sales by Sales Rep</a:t>
            </a:r>
          </a:p>
        </c:rich>
      </c:tx>
      <c:layout>
        <c:manualLayout>
          <c:xMode val="edge"/>
          <c:yMode val="edge"/>
          <c:x val="0.35559626713327502"/>
          <c:y val="7.84968104152543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B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BB"/>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3'!$B$1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BB"/>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3'!$A$2:$A$8</c:f>
              <c:strCache>
                <c:ptCount val="6"/>
                <c:pt idx="0">
                  <c:v>Anita</c:v>
                </c:pt>
                <c:pt idx="1">
                  <c:v>Arjun</c:v>
                </c:pt>
                <c:pt idx="2">
                  <c:v>Kiran</c:v>
                </c:pt>
                <c:pt idx="3">
                  <c:v>Priya</c:v>
                </c:pt>
                <c:pt idx="4">
                  <c:v>Rahul</c:v>
                </c:pt>
                <c:pt idx="5">
                  <c:v>Sneha</c:v>
                </c:pt>
              </c:strCache>
            </c:strRef>
          </c:cat>
          <c:val>
            <c:numRef>
              <c:f>'Pivot 3'!$B$2:$B$8</c:f>
              <c:numCache>
                <c:formatCode>General</c:formatCode>
                <c:ptCount val="6"/>
                <c:pt idx="0">
                  <c:v>3852455</c:v>
                </c:pt>
                <c:pt idx="1">
                  <c:v>4902145</c:v>
                </c:pt>
                <c:pt idx="2">
                  <c:v>4199565</c:v>
                </c:pt>
                <c:pt idx="3">
                  <c:v>4987505</c:v>
                </c:pt>
                <c:pt idx="4">
                  <c:v>5397500</c:v>
                </c:pt>
                <c:pt idx="5">
                  <c:v>3927830</c:v>
                </c:pt>
              </c:numCache>
            </c:numRef>
          </c:val>
          <c:extLst>
            <c:ext xmlns:c16="http://schemas.microsoft.com/office/drawing/2014/chart" uri="{C3380CC4-5D6E-409C-BE32-E72D297353CC}">
              <c16:uniqueId val="{00000000-AA0C-4DB2-A5E6-C7C5D6A4FDD1}"/>
            </c:ext>
          </c:extLst>
        </c:ser>
        <c:dLbls>
          <c:dLblPos val="outEnd"/>
          <c:showLegendKey val="0"/>
          <c:showVal val="1"/>
          <c:showCatName val="0"/>
          <c:showSerName val="0"/>
          <c:showPercent val="0"/>
          <c:showBubbleSize val="0"/>
        </c:dLbls>
        <c:gapWidth val="219"/>
        <c:overlap val="-27"/>
        <c:axId val="518562440"/>
        <c:axId val="518560480"/>
      </c:barChart>
      <c:catAx>
        <c:axId val="518562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BB"/>
          </a:p>
        </c:txPr>
        <c:crossAx val="518560480"/>
        <c:crosses val="autoZero"/>
        <c:auto val="1"/>
        <c:lblAlgn val="ctr"/>
        <c:lblOffset val="100"/>
        <c:noMultiLvlLbl val="0"/>
      </c:catAx>
      <c:valAx>
        <c:axId val="518560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BB"/>
          </a:p>
        </c:txPr>
        <c:crossAx val="5185624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[Group-1 Excel Project (2).xlsx]Pivot 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 by Sales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BB"/>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strRef>
              <c:f>'Pivot 4'!$B$1</c:f>
              <c:strCache>
                <c:ptCount val="1"/>
                <c:pt idx="0">
                  <c:v>Total</c:v>
                </c:pt>
              </c:strCache>
            </c:strRef>
          </c:tx>
          <c:spPr>
            <a:ln w="28575" cap="rnd">
              <a:solidFill>
                <a:schemeClr val="accent1"/>
              </a:solidFill>
              <a:round/>
            </a:ln>
            <a:effectLst/>
          </c:spPr>
          <c:marker>
            <c:symbol val="none"/>
          </c:marker>
          <c:cat>
            <c:strRef>
              <c:f>'Pivot 4'!$A$2:$A$14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4'!$B$2:$B$14</c:f>
              <c:numCache>
                <c:formatCode>General</c:formatCode>
                <c:ptCount val="12"/>
                <c:pt idx="0">
                  <c:v>3534520</c:v>
                </c:pt>
                <c:pt idx="1">
                  <c:v>1987300</c:v>
                </c:pt>
                <c:pt idx="2">
                  <c:v>2852340</c:v>
                </c:pt>
                <c:pt idx="3">
                  <c:v>1055105</c:v>
                </c:pt>
                <c:pt idx="4">
                  <c:v>2068990</c:v>
                </c:pt>
                <c:pt idx="5">
                  <c:v>1866665</c:v>
                </c:pt>
                <c:pt idx="6">
                  <c:v>2558195</c:v>
                </c:pt>
                <c:pt idx="7">
                  <c:v>2819720</c:v>
                </c:pt>
                <c:pt idx="8">
                  <c:v>1674000</c:v>
                </c:pt>
                <c:pt idx="9">
                  <c:v>1820415</c:v>
                </c:pt>
                <c:pt idx="10">
                  <c:v>2732665</c:v>
                </c:pt>
                <c:pt idx="11">
                  <c:v>2297085</c:v>
                </c:pt>
              </c:numCache>
            </c:numRef>
          </c:val>
          <c:smooth val="0"/>
          <c:extLst>
            <c:ext xmlns:c16="http://schemas.microsoft.com/office/drawing/2014/chart" uri="{C3380CC4-5D6E-409C-BE32-E72D297353CC}">
              <c16:uniqueId val="{00000000-A163-4A54-9FBE-A0A53D202A57}"/>
            </c:ext>
          </c:extLst>
        </c:ser>
        <c:dLbls>
          <c:showLegendKey val="0"/>
          <c:showVal val="0"/>
          <c:showCatName val="0"/>
          <c:showSerName val="0"/>
          <c:showPercent val="0"/>
          <c:showBubbleSize val="0"/>
        </c:dLbls>
        <c:smooth val="0"/>
        <c:axId val="392505416"/>
        <c:axId val="392506592"/>
      </c:lineChart>
      <c:catAx>
        <c:axId val="392505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BB"/>
          </a:p>
        </c:txPr>
        <c:crossAx val="392506592"/>
        <c:crosses val="autoZero"/>
        <c:auto val="1"/>
        <c:lblAlgn val="ctr"/>
        <c:lblOffset val="100"/>
        <c:noMultiLvlLbl val="0"/>
      </c:catAx>
      <c:valAx>
        <c:axId val="392506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BB"/>
          </a:p>
        </c:txPr>
        <c:crossAx val="3925054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[Group-1 Excel Project (2).xlsx]Pivot 6!PivotTable2</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500" b="1" i="0" u="none" strike="noStrike" kern="1200" baseline="0">
                <a:solidFill>
                  <a:sysClr val="windowText" lastClr="000000">
                    <a:lumMod val="65000"/>
                    <a:lumOff val="35000"/>
                  </a:sysClr>
                </a:solidFill>
              </a:rPr>
              <a:t>Total Profit</a:t>
            </a:r>
          </a:p>
          <a:p>
            <a:pPr>
              <a:defRPr sz="1800" b="1" i="0" u="none" strike="noStrike" kern="1200" baseline="0">
                <a:solidFill>
                  <a:schemeClr val="dk1">
                    <a:lumMod val="65000"/>
                    <a:lumOff val="35000"/>
                  </a:schemeClr>
                </a:solidFill>
                <a:latin typeface="+mn-lt"/>
                <a:ea typeface="+mn-ea"/>
                <a:cs typeface="+mn-cs"/>
              </a:defRPr>
            </a:pPr>
            <a:r>
              <a:rPr lang="en-US" sz="1500" b="1" i="0" u="none" strike="noStrike" kern="1200" baseline="0">
                <a:solidFill>
                  <a:sysClr val="windowText" lastClr="000000">
                    <a:lumMod val="65000"/>
                    <a:lumOff val="35000"/>
                  </a:sysClr>
                </a:solidFill>
              </a:rPr>
              <a:t>by Region</a:t>
            </a:r>
          </a:p>
          <a:p>
            <a:pPr>
              <a:defRPr sz="1800" b="1" i="0" u="none" strike="noStrike" kern="1200" baseline="0">
                <a:solidFill>
                  <a:schemeClr val="dk1">
                    <a:lumMod val="65000"/>
                    <a:lumOff val="35000"/>
                  </a:schemeClr>
                </a:solidFill>
                <a:latin typeface="+mn-lt"/>
                <a:ea typeface="+mn-ea"/>
                <a:cs typeface="+mn-cs"/>
              </a:defRPr>
            </a:pPr>
            <a:r>
              <a:rPr lang="en-BB" sz="1500" b="1" i="0" u="none" strike="noStrike" kern="1200" baseline="0">
                <a:solidFill>
                  <a:sysClr val="windowText" lastClr="000000">
                    <a:lumMod val="65000"/>
                    <a:lumOff val="35000"/>
                  </a:sysClr>
                </a:solidFill>
              </a:rPr>
              <a:t>₹6,322,873.50  </a:t>
            </a:r>
            <a:endParaRPr lang="en-US" sz="1500" b="1" i="0" u="none" strike="noStrike" kern="1200" baseline="0">
              <a:solidFill>
                <a:sysClr val="windowText" lastClr="000000">
                  <a:lumMod val="65000"/>
                  <a:lumOff val="35000"/>
                </a:sysClr>
              </a:solidFill>
            </a:endParaRPr>
          </a:p>
        </c:rich>
      </c:tx>
      <c:layout>
        <c:manualLayout>
          <c:xMode val="edge"/>
          <c:yMode val="edge"/>
          <c:x val="0.33001374828146485"/>
          <c:y val="0.33135462233887431"/>
        </c:manualLayout>
      </c:layout>
      <c:overlay val="0"/>
      <c:spPr>
        <a:noFill/>
        <a:ln>
          <a:noFill/>
        </a:ln>
        <a:effectLst/>
      </c:sp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BB"/>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BB"/>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BB"/>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BB"/>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2"/>
          </a:solidFill>
          <a:ln>
            <a:noFill/>
          </a:ln>
          <a:effectLst>
            <a:outerShdw blurRad="317500" algn="ctr" rotWithShape="0">
              <a:prstClr val="black">
                <a:alpha val="25000"/>
              </a:prstClr>
            </a:outerShdw>
          </a:effectLst>
        </c:spPr>
      </c:pivotFmt>
      <c:pivotFmt>
        <c:idx val="18"/>
        <c:spPr>
          <a:solidFill>
            <a:schemeClr val="accent3"/>
          </a:solidFill>
          <a:ln>
            <a:noFill/>
          </a:ln>
          <a:effectLst>
            <a:outerShdw blurRad="317500" algn="ctr" rotWithShape="0">
              <a:prstClr val="black">
                <a:alpha val="25000"/>
              </a:prstClr>
            </a:outerShdw>
          </a:effectLst>
        </c:spPr>
      </c:pivotFmt>
      <c:pivotFmt>
        <c:idx val="19"/>
        <c:spPr>
          <a:solidFill>
            <a:schemeClr val="accent4"/>
          </a:solidFill>
          <a:ln>
            <a:noFill/>
          </a:ln>
          <a:effectLst>
            <a:outerShdw blurRad="317500" algn="ctr" rotWithShape="0">
              <a:prstClr val="black">
                <a:alpha val="25000"/>
              </a:prstClr>
            </a:outerShdw>
          </a:effectLst>
        </c:spPr>
      </c:pivotFmt>
    </c:pivotFmts>
    <c:plotArea>
      <c:layout>
        <c:manualLayout>
          <c:layoutTarget val="inner"/>
          <c:xMode val="edge"/>
          <c:yMode val="edge"/>
          <c:x val="0.22523328793254963"/>
          <c:y val="6.4066658568099746E-2"/>
          <c:w val="0.47872234036438877"/>
          <c:h val="0.82757048113465315"/>
        </c:manualLayout>
      </c:layout>
      <c:doughnutChart>
        <c:varyColors val="1"/>
        <c:ser>
          <c:idx val="0"/>
          <c:order val="0"/>
          <c:tx>
            <c:strRef>
              <c:f>'Pivot 6'!$B$3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23D-4368-A177-79CD113420C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6-423D-4368-A177-79CD113420C0}"/>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8-423D-4368-A177-79CD113420C0}"/>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A-423D-4368-A177-79CD113420C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BB"/>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6'!$A$4:$A$8</c:f>
              <c:strCache>
                <c:ptCount val="4"/>
                <c:pt idx="0">
                  <c:v>East</c:v>
                </c:pt>
                <c:pt idx="1">
                  <c:v>North</c:v>
                </c:pt>
                <c:pt idx="2">
                  <c:v>South</c:v>
                </c:pt>
                <c:pt idx="3">
                  <c:v>West</c:v>
                </c:pt>
              </c:strCache>
            </c:strRef>
          </c:cat>
          <c:val>
            <c:numRef>
              <c:f>'Pivot 6'!$B$4:$B$8</c:f>
              <c:numCache>
                <c:formatCode>[$₹-439]#,##0.00</c:formatCode>
                <c:ptCount val="4"/>
                <c:pt idx="0">
                  <c:v>1736360.0699999996</c:v>
                </c:pt>
                <c:pt idx="1">
                  <c:v>1440998.5099999998</c:v>
                </c:pt>
                <c:pt idx="2">
                  <c:v>1498087.92</c:v>
                </c:pt>
                <c:pt idx="3">
                  <c:v>1647427</c:v>
                </c:pt>
              </c:numCache>
            </c:numRef>
          </c:val>
          <c:extLst>
            <c:ext xmlns:c16="http://schemas.microsoft.com/office/drawing/2014/chart" uri="{C3380CC4-5D6E-409C-BE32-E72D297353CC}">
              <c16:uniqueId val="{0000000B-423D-4368-A177-79CD113420C0}"/>
            </c:ext>
          </c:extLst>
        </c:ser>
        <c:dLbls>
          <c:showLegendKey val="0"/>
          <c:showVal val="0"/>
          <c:showCatName val="0"/>
          <c:showSerName val="0"/>
          <c:showPercent val="1"/>
          <c:showBubbleSize val="0"/>
          <c:showLeaderLines val="1"/>
        </c:dLbls>
        <c:firstSliceAng val="0"/>
        <c:holeSize val="66"/>
      </c:doughnutChart>
    </c:plotArea>
    <c:legend>
      <c:legendPos val="r"/>
      <c:layout>
        <c:manualLayout>
          <c:xMode val="edge"/>
          <c:yMode val="edge"/>
          <c:x val="0.76557550306211719"/>
          <c:y val="0.19126822688830564"/>
          <c:w val="0.17601179852518437"/>
          <c:h val="0.47260024788568095"/>
        </c:manualLayout>
      </c:layout>
      <c:overlay val="0"/>
    </c:legend>
    <c:plotVisOnly val="1"/>
    <c:dispBlanksAs val="gap"/>
    <c:showDLblsOverMax val="0"/>
    <c:extLst/>
  </c:chart>
  <c:spPr>
    <a:solidFill>
      <a:schemeClr val="bg1"/>
    </a:solidFill>
    <a:ln w="9525" cap="flat" cmpd="sng" algn="ctr">
      <a:solidFill>
        <a:schemeClr val="dk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[Group-1 Excel Project (2).xlsx]pivot 7!PivotTable1</c:name>
    <c:fmtId val="0"/>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7'!$B$3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D4D-49B4-89E4-4F4B65A56B6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D4D-49B4-89E4-4F4B65A56B6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D4D-49B4-89E4-4F4B65A56B6F}"/>
              </c:ext>
            </c:extLst>
          </c:dPt>
          <c:cat>
            <c:strRef>
              <c:f>'pivot 7'!$A$4:$A$7</c:f>
              <c:strCache>
                <c:ptCount val="3"/>
                <c:pt idx="0">
                  <c:v>Accessories</c:v>
                </c:pt>
                <c:pt idx="1">
                  <c:v>Electronics</c:v>
                </c:pt>
                <c:pt idx="2">
                  <c:v>Furniture</c:v>
                </c:pt>
              </c:strCache>
            </c:strRef>
          </c:cat>
          <c:val>
            <c:numRef>
              <c:f>'pivot 7'!$B$4:$B$7</c:f>
              <c:numCache>
                <c:formatCode>General</c:formatCode>
                <c:ptCount val="3"/>
                <c:pt idx="0">
                  <c:v>291</c:v>
                </c:pt>
                <c:pt idx="1">
                  <c:v>404</c:v>
                </c:pt>
                <c:pt idx="2">
                  <c:v>338</c:v>
                </c:pt>
              </c:numCache>
            </c:numRef>
          </c:val>
          <c:extLst>
            <c:ext xmlns:c16="http://schemas.microsoft.com/office/drawing/2014/chart" uri="{C3380CC4-5D6E-409C-BE32-E72D297353CC}">
              <c16:uniqueId val="{00000000-A5D1-4A6E-934C-EA5530FC3BBC}"/>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9408585108970009"/>
          <c:y val="0.2958996628574897"/>
          <c:w val="0.16544556531072591"/>
          <c:h val="0.4538887264179574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BB"/>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[Group-1 Excel Project (2).xlsx]pivot 8!PivotTable2</c:name>
    <c:fmtId val="0"/>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8'!$B$3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multiLvlStrRef>
              <c:f>'pivot 8'!$A$4:$A$11</c:f>
              <c:multiLvlStrCache>
                <c:ptCount val="4"/>
                <c:lvl>
                  <c:pt idx="0">
                    <c:v>Haryana</c:v>
                  </c:pt>
                  <c:pt idx="1">
                    <c:v>Punjab</c:v>
                  </c:pt>
                  <c:pt idx="2">
                    <c:v>Telangana</c:v>
                  </c:pt>
                  <c:pt idx="3">
                    <c:v>Maharashtra</c:v>
                  </c:pt>
                </c:lvl>
                <c:lvl>
                  <c:pt idx="0">
                    <c:v>North</c:v>
                  </c:pt>
                  <c:pt idx="2">
                    <c:v>South</c:v>
                  </c:pt>
                  <c:pt idx="3">
                    <c:v>West</c:v>
                  </c:pt>
                </c:lvl>
              </c:multiLvlStrCache>
            </c:multiLvlStrRef>
          </c:cat>
          <c:val>
            <c:numRef>
              <c:f>'pivot 8'!$B$4:$B$11</c:f>
              <c:numCache>
                <c:formatCode>General</c:formatCode>
                <c:ptCount val="4"/>
                <c:pt idx="0">
                  <c:v>2647825</c:v>
                </c:pt>
                <c:pt idx="1">
                  <c:v>1444335</c:v>
                </c:pt>
                <c:pt idx="2">
                  <c:v>3763580</c:v>
                </c:pt>
                <c:pt idx="3">
                  <c:v>3292765</c:v>
                </c:pt>
              </c:numCache>
            </c:numRef>
          </c:val>
          <c:extLst>
            <c:ext xmlns:c16="http://schemas.microsoft.com/office/drawing/2014/chart" uri="{C3380CC4-5D6E-409C-BE32-E72D297353CC}">
              <c16:uniqueId val="{00000000-4ED0-489C-9E1C-AD4E3065202D}"/>
            </c:ext>
          </c:extLst>
        </c:ser>
        <c:dLbls>
          <c:showLegendKey val="0"/>
          <c:showVal val="0"/>
          <c:showCatName val="0"/>
          <c:showSerName val="0"/>
          <c:showPercent val="0"/>
          <c:showBubbleSize val="0"/>
        </c:dLbls>
        <c:gapWidth val="150"/>
        <c:shape val="box"/>
        <c:axId val="1609796080"/>
        <c:axId val="1609796560"/>
        <c:axId val="0"/>
      </c:bar3DChart>
      <c:catAx>
        <c:axId val="160979608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BB"/>
          </a:p>
        </c:txPr>
        <c:crossAx val="1609796560"/>
        <c:crosses val="autoZero"/>
        <c:auto val="1"/>
        <c:lblAlgn val="ctr"/>
        <c:lblOffset val="100"/>
        <c:noMultiLvlLbl val="0"/>
      </c:catAx>
      <c:valAx>
        <c:axId val="160979656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BB"/>
          </a:p>
        </c:txPr>
        <c:crossAx val="160979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[Group-1 Excel Project (2).xlsx]Pivot 1!PivotTable1</c:name>
    <c:fmtId val="21"/>
  </c:pivotSource>
  <c:chart>
    <c:title>
      <c:tx>
        <c:rich>
          <a:bodyPr rot="0" spcFirstLastPara="1" vertOverflow="ellipsis" vert="horz" wrap="square" anchor="ctr" anchorCtr="1"/>
          <a:lstStyle/>
          <a:p>
            <a:pPr>
              <a:defRPr sz="1320" b="1" i="0" u="none" strike="noStrike" kern="1200" baseline="0">
                <a:solidFill>
                  <a:schemeClr val="dk1">
                    <a:lumMod val="75000"/>
                    <a:lumOff val="25000"/>
                  </a:schemeClr>
                </a:solidFill>
                <a:latin typeface="+mn-lt"/>
                <a:ea typeface="+mn-ea"/>
                <a:cs typeface="+mn-cs"/>
              </a:defRPr>
            </a:pPr>
            <a:r>
              <a:rPr lang="en-US"/>
              <a:t>Total Sales by Region</a:t>
            </a:r>
          </a:p>
          <a:p>
            <a:pPr>
              <a:defRPr/>
            </a:pPr>
            <a:endParaRPr lang="en-US"/>
          </a:p>
        </c:rich>
      </c:tx>
      <c:layout>
        <c:manualLayout>
          <c:xMode val="edge"/>
          <c:yMode val="edge"/>
          <c:x val="0.36212536762833136"/>
          <c:y val="6.2809386333726819E-2"/>
        </c:manualLayout>
      </c:layout>
      <c:overlay val="0"/>
      <c:spPr>
        <a:noFill/>
        <a:ln>
          <a:noFill/>
        </a:ln>
        <a:effectLst/>
      </c:spPr>
      <c:txPr>
        <a:bodyPr rot="0" spcFirstLastPara="1" vertOverflow="ellipsis" vert="horz" wrap="square" anchor="ctr" anchorCtr="1"/>
        <a:lstStyle/>
        <a:p>
          <a:pPr>
            <a:defRPr sz="1320" b="1" i="0" u="none" strike="noStrike" kern="1200" baseline="0">
              <a:solidFill>
                <a:schemeClr val="dk1">
                  <a:lumMod val="75000"/>
                  <a:lumOff val="25000"/>
                </a:schemeClr>
              </a:solidFill>
              <a:latin typeface="+mn-lt"/>
              <a:ea typeface="+mn-ea"/>
              <a:cs typeface="+mn-cs"/>
            </a:defRPr>
          </a:pPr>
          <a:endParaRPr lang="en-BB"/>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BB"/>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lt1"/>
                  </a:solidFill>
                  <a:latin typeface="+mn-lt"/>
                  <a:ea typeface="+mn-ea"/>
                  <a:cs typeface="+mn-cs"/>
                </a:defRPr>
              </a:pPr>
              <a:endParaRPr lang="en-BB"/>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lt1"/>
                  </a:solidFill>
                  <a:latin typeface="+mn-lt"/>
                  <a:ea typeface="+mn-ea"/>
                  <a:cs typeface="+mn-cs"/>
                </a:defRPr>
              </a:pPr>
              <a:endParaRPr lang="en-BB"/>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lt1"/>
                  </a:solidFill>
                  <a:latin typeface="+mn-lt"/>
                  <a:ea typeface="+mn-ea"/>
                  <a:cs typeface="+mn-cs"/>
                </a:defRPr>
              </a:pPr>
              <a:endParaRPr lang="en-BB"/>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46981627296589"/>
          <c:y val="0.19672462817147857"/>
          <c:w val="0.72312270341207352"/>
          <c:h val="0.53774387576552929"/>
        </c:manualLayout>
      </c:layout>
      <c:barChart>
        <c:barDir val="col"/>
        <c:grouping val="clustered"/>
        <c:varyColors val="0"/>
        <c:ser>
          <c:idx val="0"/>
          <c:order val="0"/>
          <c:tx>
            <c:strRef>
              <c:f>'Pivot 1'!$B$3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lt1"/>
                    </a:solidFill>
                    <a:latin typeface="+mn-lt"/>
                    <a:ea typeface="+mn-ea"/>
                    <a:cs typeface="+mn-cs"/>
                  </a:defRPr>
                </a:pPr>
                <a:endParaRPr lang="en-BB"/>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1'!$A$4:$A$8</c:f>
              <c:strCache>
                <c:ptCount val="4"/>
                <c:pt idx="0">
                  <c:v>East</c:v>
                </c:pt>
                <c:pt idx="1">
                  <c:v>North</c:v>
                </c:pt>
                <c:pt idx="2">
                  <c:v>South</c:v>
                </c:pt>
                <c:pt idx="3">
                  <c:v>West</c:v>
                </c:pt>
              </c:strCache>
            </c:strRef>
          </c:cat>
          <c:val>
            <c:numRef>
              <c:f>'Pivot 1'!$B$4:$B$8</c:f>
              <c:numCache>
                <c:formatCode>General</c:formatCode>
                <c:ptCount val="4"/>
                <c:pt idx="0">
                  <c:v>7568885</c:v>
                </c:pt>
                <c:pt idx="1">
                  <c:v>6458590</c:v>
                </c:pt>
                <c:pt idx="2">
                  <c:v>6106145</c:v>
                </c:pt>
                <c:pt idx="3">
                  <c:v>7133380</c:v>
                </c:pt>
              </c:numCache>
            </c:numRef>
          </c:val>
          <c:extLst>
            <c:ext xmlns:c16="http://schemas.microsoft.com/office/drawing/2014/chart" uri="{C3380CC4-5D6E-409C-BE32-E72D297353CC}">
              <c16:uniqueId val="{00000000-5BA9-4975-B0F1-5E24629A52FC}"/>
            </c:ext>
          </c:extLst>
        </c:ser>
        <c:dLbls>
          <c:dLblPos val="inEnd"/>
          <c:showLegendKey val="0"/>
          <c:showVal val="1"/>
          <c:showCatName val="0"/>
          <c:showSerName val="0"/>
          <c:showPercent val="0"/>
          <c:showBubbleSize val="0"/>
        </c:dLbls>
        <c:gapWidth val="65"/>
        <c:axId val="395232815"/>
        <c:axId val="395228015"/>
      </c:barChart>
      <c:catAx>
        <c:axId val="39523281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100" b="0" i="0" u="none" strike="noStrike" kern="1200" cap="all" baseline="0">
                <a:solidFill>
                  <a:schemeClr val="dk1">
                    <a:lumMod val="75000"/>
                    <a:lumOff val="25000"/>
                  </a:schemeClr>
                </a:solidFill>
                <a:latin typeface="+mn-lt"/>
                <a:ea typeface="+mn-ea"/>
                <a:cs typeface="+mn-cs"/>
              </a:defRPr>
            </a:pPr>
            <a:endParaRPr lang="en-BB"/>
          </a:p>
        </c:txPr>
        <c:crossAx val="395228015"/>
        <c:crosses val="autoZero"/>
        <c:auto val="1"/>
        <c:lblAlgn val="ctr"/>
        <c:lblOffset val="100"/>
        <c:noMultiLvlLbl val="0"/>
      </c:catAx>
      <c:valAx>
        <c:axId val="39522801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95232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sz="1100" baseline="0"/>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[Group-1 Excel Project (2).xlsx]Pivot 2!PivotTable2</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Sales by Product Category</a:t>
            </a:r>
          </a:p>
        </c:rich>
      </c:tx>
      <c:layout>
        <c:manualLayout>
          <c:xMode val="edge"/>
          <c:yMode val="edge"/>
          <c:x val="0.30030933633295831"/>
          <c:y val="6.666478966648835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BB"/>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BB"/>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pivotFmt>
      <c:pivotFmt>
        <c:idx val="2"/>
        <c:spPr>
          <a:solidFill>
            <a:schemeClr val="accent1">
              <a:alpha val="85000"/>
            </a:schemeClr>
          </a:solidFill>
          <a:ln w="9525" cap="flat" cmpd="sng" algn="ctr">
            <a:solidFill>
              <a:schemeClr val="lt1">
                <a:alpha val="50000"/>
              </a:schemeClr>
            </a:solidFill>
            <a:round/>
          </a:ln>
          <a:effectLst/>
        </c:spPr>
      </c:pivotFmt>
      <c:pivotFmt>
        <c:idx val="3"/>
        <c:spPr>
          <a:solidFill>
            <a:schemeClr val="accent1">
              <a:alpha val="85000"/>
            </a:schemeClr>
          </a:solidFill>
          <a:ln w="9525" cap="flat" cmpd="sng" algn="ctr">
            <a:solidFill>
              <a:schemeClr val="lt1">
                <a:alpha val="50000"/>
              </a:schemeClr>
            </a:solidFill>
            <a:round/>
          </a:ln>
          <a:effectLst/>
        </c:spPr>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BB"/>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BB"/>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BB"/>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2'!$B$3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BB"/>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2'!$A$4:$A$7</c:f>
              <c:strCache>
                <c:ptCount val="3"/>
                <c:pt idx="0">
                  <c:v>Accessories</c:v>
                </c:pt>
                <c:pt idx="1">
                  <c:v>Electronics</c:v>
                </c:pt>
                <c:pt idx="2">
                  <c:v>Furniture</c:v>
                </c:pt>
              </c:strCache>
            </c:strRef>
          </c:cat>
          <c:val>
            <c:numRef>
              <c:f>'Pivot 2'!$B$4:$B$7</c:f>
              <c:numCache>
                <c:formatCode>General</c:formatCode>
                <c:ptCount val="3"/>
                <c:pt idx="0">
                  <c:v>1079625</c:v>
                </c:pt>
                <c:pt idx="1">
                  <c:v>19563075</c:v>
                </c:pt>
                <c:pt idx="2">
                  <c:v>6624300</c:v>
                </c:pt>
              </c:numCache>
            </c:numRef>
          </c:val>
          <c:extLst>
            <c:ext xmlns:c16="http://schemas.microsoft.com/office/drawing/2014/chart" uri="{C3380CC4-5D6E-409C-BE32-E72D297353CC}">
              <c16:uniqueId val="{00000000-430A-4A43-9838-3E7D6733FB3B}"/>
            </c:ext>
          </c:extLst>
        </c:ser>
        <c:dLbls>
          <c:dLblPos val="inEnd"/>
          <c:showLegendKey val="0"/>
          <c:showVal val="1"/>
          <c:showCatName val="0"/>
          <c:showSerName val="0"/>
          <c:showPercent val="0"/>
          <c:showBubbleSize val="0"/>
        </c:dLbls>
        <c:gapWidth val="65"/>
        <c:axId val="514298399"/>
        <c:axId val="514305119"/>
      </c:barChart>
      <c:catAx>
        <c:axId val="51429839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100" b="0" i="0" u="none" strike="noStrike" kern="1200" cap="all" baseline="0">
                <a:solidFill>
                  <a:schemeClr val="dk1">
                    <a:lumMod val="75000"/>
                    <a:lumOff val="25000"/>
                  </a:schemeClr>
                </a:solidFill>
                <a:latin typeface="+mn-lt"/>
                <a:ea typeface="+mn-ea"/>
                <a:cs typeface="+mn-cs"/>
              </a:defRPr>
            </a:pPr>
            <a:endParaRPr lang="en-BB"/>
          </a:p>
        </c:txPr>
        <c:crossAx val="514305119"/>
        <c:crosses val="autoZero"/>
        <c:auto val="1"/>
        <c:lblAlgn val="ctr"/>
        <c:lblOffset val="100"/>
        <c:noMultiLvlLbl val="0"/>
      </c:catAx>
      <c:valAx>
        <c:axId val="51430511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dk1">
                    <a:lumMod val="75000"/>
                    <a:lumOff val="25000"/>
                  </a:schemeClr>
                </a:solidFill>
                <a:latin typeface="+mn-lt"/>
                <a:ea typeface="+mn-ea"/>
                <a:cs typeface="+mn-cs"/>
              </a:defRPr>
            </a:pPr>
            <a:endParaRPr lang="en-BB"/>
          </a:p>
        </c:txPr>
        <c:crossAx val="51429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[Group-1 Excel Project (2).xlsx]Pivot 3!PivotTable2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Total Sales by Sales Rep</a:t>
            </a:r>
          </a:p>
        </c:rich>
      </c:tx>
      <c:layout>
        <c:manualLayout>
          <c:xMode val="edge"/>
          <c:yMode val="edge"/>
          <c:x val="0.35559626713327502"/>
          <c:y val="7.84968104152543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B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BB"/>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BB"/>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BB"/>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3'!$B$1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BB"/>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3'!$A$2:$A$8</c:f>
              <c:strCache>
                <c:ptCount val="6"/>
                <c:pt idx="0">
                  <c:v>Anita</c:v>
                </c:pt>
                <c:pt idx="1">
                  <c:v>Arjun</c:v>
                </c:pt>
                <c:pt idx="2">
                  <c:v>Kiran</c:v>
                </c:pt>
                <c:pt idx="3">
                  <c:v>Priya</c:v>
                </c:pt>
                <c:pt idx="4">
                  <c:v>Rahul</c:v>
                </c:pt>
                <c:pt idx="5">
                  <c:v>Sneha</c:v>
                </c:pt>
              </c:strCache>
            </c:strRef>
          </c:cat>
          <c:val>
            <c:numRef>
              <c:f>'Pivot 3'!$B$2:$B$8</c:f>
              <c:numCache>
                <c:formatCode>General</c:formatCode>
                <c:ptCount val="6"/>
                <c:pt idx="0">
                  <c:v>3852455</c:v>
                </c:pt>
                <c:pt idx="1">
                  <c:v>4902145</c:v>
                </c:pt>
                <c:pt idx="2">
                  <c:v>4199565</c:v>
                </c:pt>
                <c:pt idx="3">
                  <c:v>4987505</c:v>
                </c:pt>
                <c:pt idx="4">
                  <c:v>5397500</c:v>
                </c:pt>
                <c:pt idx="5">
                  <c:v>3927830</c:v>
                </c:pt>
              </c:numCache>
            </c:numRef>
          </c:val>
          <c:extLst>
            <c:ext xmlns:c16="http://schemas.microsoft.com/office/drawing/2014/chart" uri="{C3380CC4-5D6E-409C-BE32-E72D297353CC}">
              <c16:uniqueId val="{00000000-CD95-444C-A4C7-240A76E77DE8}"/>
            </c:ext>
          </c:extLst>
        </c:ser>
        <c:dLbls>
          <c:dLblPos val="outEnd"/>
          <c:showLegendKey val="0"/>
          <c:showVal val="1"/>
          <c:showCatName val="0"/>
          <c:showSerName val="0"/>
          <c:showPercent val="0"/>
          <c:showBubbleSize val="0"/>
        </c:dLbls>
        <c:gapWidth val="219"/>
        <c:overlap val="-27"/>
        <c:axId val="518562440"/>
        <c:axId val="518560480"/>
      </c:barChart>
      <c:catAx>
        <c:axId val="518562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BB"/>
          </a:p>
        </c:txPr>
        <c:crossAx val="518560480"/>
        <c:crosses val="autoZero"/>
        <c:auto val="1"/>
        <c:lblAlgn val="ctr"/>
        <c:lblOffset val="100"/>
        <c:noMultiLvlLbl val="0"/>
      </c:catAx>
      <c:valAx>
        <c:axId val="518560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BB"/>
          </a:p>
        </c:txPr>
        <c:crossAx val="5185624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[Group-1 Excel Project (2).xlsx]Pivot 4!PivotTable1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 by Sales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B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4'!$B$1</c:f>
              <c:strCache>
                <c:ptCount val="1"/>
                <c:pt idx="0">
                  <c:v>Total</c:v>
                </c:pt>
              </c:strCache>
            </c:strRef>
          </c:tx>
          <c:spPr>
            <a:ln w="28575" cap="rnd">
              <a:solidFill>
                <a:schemeClr val="accent1"/>
              </a:solidFill>
              <a:round/>
            </a:ln>
            <a:effectLst/>
          </c:spPr>
          <c:marker>
            <c:symbol val="none"/>
          </c:marker>
          <c:cat>
            <c:strRef>
              <c:f>'Pivot 4'!$A$2:$A$14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4'!$B$2:$B$14</c:f>
              <c:numCache>
                <c:formatCode>General</c:formatCode>
                <c:ptCount val="12"/>
                <c:pt idx="0">
                  <c:v>3534520</c:v>
                </c:pt>
                <c:pt idx="1">
                  <c:v>1987300</c:v>
                </c:pt>
                <c:pt idx="2">
                  <c:v>2852340</c:v>
                </c:pt>
                <c:pt idx="3">
                  <c:v>1055105</c:v>
                </c:pt>
                <c:pt idx="4">
                  <c:v>2068990</c:v>
                </c:pt>
                <c:pt idx="5">
                  <c:v>1866665</c:v>
                </c:pt>
                <c:pt idx="6">
                  <c:v>2558195</c:v>
                </c:pt>
                <c:pt idx="7">
                  <c:v>2819720</c:v>
                </c:pt>
                <c:pt idx="8">
                  <c:v>1674000</c:v>
                </c:pt>
                <c:pt idx="9">
                  <c:v>1820415</c:v>
                </c:pt>
                <c:pt idx="10">
                  <c:v>2732665</c:v>
                </c:pt>
                <c:pt idx="11">
                  <c:v>2297085</c:v>
                </c:pt>
              </c:numCache>
            </c:numRef>
          </c:val>
          <c:smooth val="0"/>
          <c:extLst>
            <c:ext xmlns:c16="http://schemas.microsoft.com/office/drawing/2014/chart" uri="{C3380CC4-5D6E-409C-BE32-E72D297353CC}">
              <c16:uniqueId val="{00000000-486D-438D-AE32-63CBD6745AB8}"/>
            </c:ext>
          </c:extLst>
        </c:ser>
        <c:dLbls>
          <c:showLegendKey val="0"/>
          <c:showVal val="0"/>
          <c:showCatName val="0"/>
          <c:showSerName val="0"/>
          <c:showPercent val="0"/>
          <c:showBubbleSize val="0"/>
        </c:dLbls>
        <c:smooth val="0"/>
        <c:axId val="392505416"/>
        <c:axId val="392506592"/>
      </c:lineChart>
      <c:catAx>
        <c:axId val="392505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BB"/>
          </a:p>
        </c:txPr>
        <c:crossAx val="392506592"/>
        <c:crosses val="autoZero"/>
        <c:auto val="1"/>
        <c:lblAlgn val="ctr"/>
        <c:lblOffset val="100"/>
        <c:noMultiLvlLbl val="0"/>
      </c:catAx>
      <c:valAx>
        <c:axId val="392506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BB"/>
          </a:p>
        </c:txPr>
        <c:crossAx val="3925054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[Group-1 Excel Project (2).xlsx]Pivot 6!PivotTable2</c:name>
    <c:fmtId val="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500" b="1" i="0" u="none" strike="noStrike" kern="1200" baseline="0">
                <a:solidFill>
                  <a:sysClr val="windowText" lastClr="000000">
                    <a:lumMod val="65000"/>
                    <a:lumOff val="35000"/>
                  </a:sysClr>
                </a:solidFill>
              </a:rPr>
              <a:t>Total Profit</a:t>
            </a:r>
          </a:p>
          <a:p>
            <a:pPr>
              <a:defRPr sz="1800" b="1" i="0" u="none" strike="noStrike" kern="1200" baseline="0">
                <a:solidFill>
                  <a:schemeClr val="dk1">
                    <a:lumMod val="65000"/>
                    <a:lumOff val="35000"/>
                  </a:schemeClr>
                </a:solidFill>
                <a:latin typeface="+mn-lt"/>
                <a:ea typeface="+mn-ea"/>
                <a:cs typeface="+mn-cs"/>
              </a:defRPr>
            </a:pPr>
            <a:r>
              <a:rPr lang="en-US" sz="1500" b="1" i="0" u="none" strike="noStrike" kern="1200" baseline="0">
                <a:solidFill>
                  <a:sysClr val="windowText" lastClr="000000">
                    <a:lumMod val="65000"/>
                    <a:lumOff val="35000"/>
                  </a:sysClr>
                </a:solidFill>
              </a:rPr>
              <a:t>by Region</a:t>
            </a:r>
          </a:p>
          <a:p>
            <a:pPr>
              <a:defRPr sz="1800" b="1" i="0" u="none" strike="noStrike" kern="1200" baseline="0">
                <a:solidFill>
                  <a:schemeClr val="dk1">
                    <a:lumMod val="65000"/>
                    <a:lumOff val="35000"/>
                  </a:schemeClr>
                </a:solidFill>
                <a:latin typeface="+mn-lt"/>
                <a:ea typeface="+mn-ea"/>
                <a:cs typeface="+mn-cs"/>
              </a:defRPr>
            </a:pPr>
            <a:r>
              <a:rPr lang="en-BB" sz="1500" b="1" i="0" u="none" strike="noStrike" kern="1200" baseline="0">
                <a:solidFill>
                  <a:sysClr val="windowText" lastClr="000000">
                    <a:lumMod val="65000"/>
                    <a:lumOff val="35000"/>
                  </a:sysClr>
                </a:solidFill>
              </a:rPr>
              <a:t>₹6,322,873.50  </a:t>
            </a:r>
            <a:endParaRPr lang="en-US" sz="1500" b="1" i="0" u="none" strike="noStrike" kern="1200" baseline="0">
              <a:solidFill>
                <a:sysClr val="windowText" lastClr="000000">
                  <a:lumMod val="65000"/>
                  <a:lumOff val="35000"/>
                </a:sysClr>
              </a:solidFill>
            </a:endParaRPr>
          </a:p>
        </c:rich>
      </c:tx>
      <c:layout>
        <c:manualLayout>
          <c:xMode val="edge"/>
          <c:yMode val="edge"/>
          <c:x val="0.33001374828146485"/>
          <c:y val="0.33135462233887431"/>
        </c:manualLayout>
      </c:layout>
      <c:overlay val="0"/>
      <c:spPr>
        <a:noFill/>
        <a:ln>
          <a:noFill/>
        </a:ln>
        <a:effectLst/>
      </c:sp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BB"/>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BB"/>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BB"/>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BB"/>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2"/>
          </a:solidFill>
          <a:ln>
            <a:noFill/>
          </a:ln>
          <a:effectLst>
            <a:outerShdw blurRad="317500" algn="ctr" rotWithShape="0">
              <a:prstClr val="black">
                <a:alpha val="25000"/>
              </a:prstClr>
            </a:outerShdw>
          </a:effectLst>
        </c:spPr>
      </c:pivotFmt>
      <c:pivotFmt>
        <c:idx val="18"/>
        <c:spPr>
          <a:solidFill>
            <a:schemeClr val="accent3"/>
          </a:solidFill>
          <a:ln>
            <a:noFill/>
          </a:ln>
          <a:effectLst>
            <a:outerShdw blurRad="317500" algn="ctr" rotWithShape="0">
              <a:prstClr val="black">
                <a:alpha val="25000"/>
              </a:prstClr>
            </a:outerShdw>
          </a:effectLst>
        </c:spPr>
      </c:pivotFmt>
      <c:pivotFmt>
        <c:idx val="19"/>
        <c:spPr>
          <a:solidFill>
            <a:schemeClr val="accent4"/>
          </a:solidFill>
          <a:ln>
            <a:noFill/>
          </a:ln>
          <a:effectLst>
            <a:outerShdw blurRad="317500" algn="ctr" rotWithShape="0">
              <a:prstClr val="black">
                <a:alpha val="25000"/>
              </a:prstClr>
            </a:outerShdw>
          </a:effectLst>
        </c:spPr>
      </c:pivotFmt>
      <c:pivotFmt>
        <c:idx val="2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BB"/>
            </a:p>
          </c:txPr>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2"/>
          </a:solidFill>
          <a:ln>
            <a:noFill/>
          </a:ln>
          <a:effectLst>
            <a:outerShdw blurRad="317500" algn="ctr" rotWithShape="0">
              <a:prstClr val="black">
                <a:alpha val="25000"/>
              </a:prstClr>
            </a:outerShdw>
          </a:effectLst>
        </c:spPr>
      </c:pivotFmt>
      <c:pivotFmt>
        <c:idx val="23"/>
        <c:spPr>
          <a:solidFill>
            <a:schemeClr val="accent3"/>
          </a:solidFill>
          <a:ln>
            <a:noFill/>
          </a:ln>
          <a:effectLst>
            <a:outerShdw blurRad="317500" algn="ctr" rotWithShape="0">
              <a:prstClr val="black">
                <a:alpha val="25000"/>
              </a:prstClr>
            </a:outerShdw>
          </a:effectLst>
        </c:spPr>
      </c:pivotFmt>
      <c:pivotFmt>
        <c:idx val="24"/>
        <c:spPr>
          <a:solidFill>
            <a:schemeClr val="accent4"/>
          </a:solidFill>
          <a:ln>
            <a:noFill/>
          </a:ln>
          <a:effectLst>
            <a:outerShdw blurRad="317500" algn="ctr" rotWithShape="0">
              <a:prstClr val="black">
                <a:alpha val="25000"/>
              </a:prstClr>
            </a:outerShdw>
          </a:effectLst>
        </c:spPr>
      </c:pivotFmt>
      <c:pivotFmt>
        <c:idx val="2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BB"/>
            </a:p>
          </c:txPr>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2"/>
          </a:solidFill>
          <a:ln>
            <a:noFill/>
          </a:ln>
          <a:effectLst>
            <a:outerShdw blurRad="317500" algn="ctr" rotWithShape="0">
              <a:prstClr val="black">
                <a:alpha val="25000"/>
              </a:prstClr>
            </a:outerShdw>
          </a:effectLst>
        </c:spPr>
      </c:pivotFmt>
      <c:pivotFmt>
        <c:idx val="28"/>
        <c:spPr>
          <a:solidFill>
            <a:schemeClr val="accent3"/>
          </a:solidFill>
          <a:ln>
            <a:noFill/>
          </a:ln>
          <a:effectLst>
            <a:outerShdw blurRad="317500" algn="ctr" rotWithShape="0">
              <a:prstClr val="black">
                <a:alpha val="25000"/>
              </a:prstClr>
            </a:outerShdw>
          </a:effectLst>
        </c:spPr>
      </c:pivotFmt>
      <c:pivotFmt>
        <c:idx val="29"/>
        <c:spPr>
          <a:solidFill>
            <a:schemeClr val="accent4"/>
          </a:solidFill>
          <a:ln>
            <a:noFill/>
          </a:ln>
          <a:effectLst>
            <a:outerShdw blurRad="317500" algn="ctr" rotWithShape="0">
              <a:prstClr val="black">
                <a:alpha val="25000"/>
              </a:prstClr>
            </a:outerShdw>
          </a:effectLst>
        </c:spPr>
      </c:pivotFmt>
    </c:pivotFmts>
    <c:plotArea>
      <c:layout>
        <c:manualLayout>
          <c:layoutTarget val="inner"/>
          <c:xMode val="edge"/>
          <c:yMode val="edge"/>
          <c:x val="0.20984807555989812"/>
          <c:y val="5.0041315813441303E-2"/>
          <c:w val="0.47872234036438877"/>
          <c:h val="0.82757048113465315"/>
        </c:manualLayout>
      </c:layout>
      <c:doughnutChart>
        <c:varyColors val="1"/>
        <c:ser>
          <c:idx val="0"/>
          <c:order val="0"/>
          <c:tx>
            <c:strRef>
              <c:f>'Pivot 6'!$B$3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28D-4833-AAC9-88760C9FB3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28D-4833-AAC9-88760C9FB320}"/>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28D-4833-AAC9-88760C9FB320}"/>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028D-4833-AAC9-88760C9FB32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BB"/>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6'!$A$4:$A$8</c:f>
              <c:strCache>
                <c:ptCount val="4"/>
                <c:pt idx="0">
                  <c:v>East</c:v>
                </c:pt>
                <c:pt idx="1">
                  <c:v>North</c:v>
                </c:pt>
                <c:pt idx="2">
                  <c:v>South</c:v>
                </c:pt>
                <c:pt idx="3">
                  <c:v>West</c:v>
                </c:pt>
              </c:strCache>
            </c:strRef>
          </c:cat>
          <c:val>
            <c:numRef>
              <c:f>'Pivot 6'!$B$4:$B$8</c:f>
              <c:numCache>
                <c:formatCode>[$₹-439]#,##0.00</c:formatCode>
                <c:ptCount val="4"/>
                <c:pt idx="0">
                  <c:v>1736360.0699999996</c:v>
                </c:pt>
                <c:pt idx="1">
                  <c:v>1440998.5099999998</c:v>
                </c:pt>
                <c:pt idx="2">
                  <c:v>1498087.92</c:v>
                </c:pt>
                <c:pt idx="3">
                  <c:v>1647427</c:v>
                </c:pt>
              </c:numCache>
            </c:numRef>
          </c:val>
          <c:extLst>
            <c:ext xmlns:c16="http://schemas.microsoft.com/office/drawing/2014/chart" uri="{C3380CC4-5D6E-409C-BE32-E72D297353CC}">
              <c16:uniqueId val="{00000008-028D-4833-AAC9-88760C9FB320}"/>
            </c:ext>
          </c:extLst>
        </c:ser>
        <c:dLbls>
          <c:showLegendKey val="0"/>
          <c:showVal val="0"/>
          <c:showCatName val="0"/>
          <c:showSerName val="0"/>
          <c:showPercent val="1"/>
          <c:showBubbleSize val="0"/>
          <c:showLeaderLines val="1"/>
        </c:dLbls>
        <c:firstSliceAng val="0"/>
        <c:holeSize val="66"/>
      </c:doughnutChart>
    </c:plotArea>
    <c:legend>
      <c:legendPos val="r"/>
      <c:layout>
        <c:manualLayout>
          <c:xMode val="edge"/>
          <c:yMode val="edge"/>
          <c:x val="0.76557550306211719"/>
          <c:y val="0.19126822688830564"/>
          <c:w val="0.17601179852518437"/>
          <c:h val="0.47260024788568095"/>
        </c:manualLayout>
      </c:layout>
      <c:overlay val="0"/>
    </c:legend>
    <c:plotVisOnly val="1"/>
    <c:dispBlanksAs val="gap"/>
    <c:showDLblsOverMax val="0"/>
    <c:extLst/>
  </c:chart>
  <c:spPr>
    <a:solidFill>
      <a:schemeClr val="bg1"/>
    </a:solidFill>
    <a:ln w="9525" cap="flat" cmpd="sng" algn="ctr">
      <a:solidFill>
        <a:schemeClr val="dk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[Group-1 Excel Project (2).xlsx]pivot 7!PivotTable1</c:name>
    <c:fmtId val="3"/>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7'!$B$3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DC2-497A-BF30-4310E13C6DD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DC2-497A-BF30-4310E13C6DD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DC2-497A-BF30-4310E13C6DD0}"/>
              </c:ext>
            </c:extLst>
          </c:dPt>
          <c:cat>
            <c:strRef>
              <c:f>'pivot 7'!$A$4:$A$7</c:f>
              <c:strCache>
                <c:ptCount val="3"/>
                <c:pt idx="0">
                  <c:v>Accessories</c:v>
                </c:pt>
                <c:pt idx="1">
                  <c:v>Electronics</c:v>
                </c:pt>
                <c:pt idx="2">
                  <c:v>Furniture</c:v>
                </c:pt>
              </c:strCache>
            </c:strRef>
          </c:cat>
          <c:val>
            <c:numRef>
              <c:f>'pivot 7'!$B$4:$B$7</c:f>
              <c:numCache>
                <c:formatCode>General</c:formatCode>
                <c:ptCount val="3"/>
                <c:pt idx="0">
                  <c:v>291</c:v>
                </c:pt>
                <c:pt idx="1">
                  <c:v>404</c:v>
                </c:pt>
                <c:pt idx="2">
                  <c:v>338</c:v>
                </c:pt>
              </c:numCache>
            </c:numRef>
          </c:val>
          <c:extLst>
            <c:ext xmlns:c16="http://schemas.microsoft.com/office/drawing/2014/chart" uri="{C3380CC4-5D6E-409C-BE32-E72D297353CC}">
              <c16:uniqueId val="{00000006-CDC2-497A-BF30-4310E13C6DD0}"/>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9408585108970009"/>
          <c:y val="0.2958996628574897"/>
          <c:w val="0.16544556531072591"/>
          <c:h val="0.4538887264179574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BB"/>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[Group-1 Excel Project (2).xlsx]pivot 8!PivotTable2</c:name>
    <c:fmtId val="10"/>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8'!$B$3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multiLvlStrRef>
              <c:f>'pivot 8'!$A$4:$A$11</c:f>
              <c:multiLvlStrCache>
                <c:ptCount val="4"/>
                <c:lvl>
                  <c:pt idx="0">
                    <c:v>Haryana</c:v>
                  </c:pt>
                  <c:pt idx="1">
                    <c:v>Punjab</c:v>
                  </c:pt>
                  <c:pt idx="2">
                    <c:v>Telangana</c:v>
                  </c:pt>
                  <c:pt idx="3">
                    <c:v>Maharashtra</c:v>
                  </c:pt>
                </c:lvl>
                <c:lvl>
                  <c:pt idx="0">
                    <c:v>North</c:v>
                  </c:pt>
                  <c:pt idx="2">
                    <c:v>South</c:v>
                  </c:pt>
                  <c:pt idx="3">
                    <c:v>West</c:v>
                  </c:pt>
                </c:lvl>
              </c:multiLvlStrCache>
            </c:multiLvlStrRef>
          </c:cat>
          <c:val>
            <c:numRef>
              <c:f>'pivot 8'!$B$4:$B$11</c:f>
              <c:numCache>
                <c:formatCode>General</c:formatCode>
                <c:ptCount val="4"/>
                <c:pt idx="0">
                  <c:v>2647825</c:v>
                </c:pt>
                <c:pt idx="1">
                  <c:v>1444335</c:v>
                </c:pt>
                <c:pt idx="2">
                  <c:v>3763580</c:v>
                </c:pt>
                <c:pt idx="3">
                  <c:v>3292765</c:v>
                </c:pt>
              </c:numCache>
            </c:numRef>
          </c:val>
          <c:extLst>
            <c:ext xmlns:c16="http://schemas.microsoft.com/office/drawing/2014/chart" uri="{C3380CC4-5D6E-409C-BE32-E72D297353CC}">
              <c16:uniqueId val="{00000000-EA8C-4A61-A85E-75FF42927321}"/>
            </c:ext>
          </c:extLst>
        </c:ser>
        <c:dLbls>
          <c:showLegendKey val="0"/>
          <c:showVal val="0"/>
          <c:showCatName val="0"/>
          <c:showSerName val="0"/>
          <c:showPercent val="0"/>
          <c:showBubbleSize val="0"/>
        </c:dLbls>
        <c:gapWidth val="150"/>
        <c:shape val="box"/>
        <c:axId val="1609796080"/>
        <c:axId val="1609796560"/>
        <c:axId val="0"/>
      </c:bar3DChart>
      <c:catAx>
        <c:axId val="160979608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BB"/>
          </a:p>
        </c:txPr>
        <c:crossAx val="1609796560"/>
        <c:crosses val="autoZero"/>
        <c:auto val="1"/>
        <c:lblAlgn val="ctr"/>
        <c:lblOffset val="100"/>
        <c:noMultiLvlLbl val="0"/>
      </c:catAx>
      <c:valAx>
        <c:axId val="160979656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BB"/>
          </a:p>
        </c:txPr>
        <c:crossAx val="160979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314325</xdr:colOff>
      <xdr:row>0</xdr:row>
      <xdr:rowOff>186690</xdr:rowOff>
    </xdr:from>
    <xdr:to>
      <xdr:col>10</xdr:col>
      <xdr:colOff>306705</xdr:colOff>
      <xdr:row>17</xdr:row>
      <xdr:rowOff>179070</xdr:rowOff>
    </xdr:to>
    <xdr:graphicFrame macro="">
      <xdr:nvGraphicFramePr>
        <xdr:cNvPr id="2" name="Chart 1">
          <a:extLst>
            <a:ext uri="{FF2B5EF4-FFF2-40B4-BE49-F238E27FC236}">
              <a16:creationId xmlns:a16="http://schemas.microsoft.com/office/drawing/2014/main" id="{53501C64-C9D3-461A-8B84-7CBC499981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7620</xdr:colOff>
      <xdr:row>0</xdr:row>
      <xdr:rowOff>194310</xdr:rowOff>
    </xdr:from>
    <xdr:to>
      <xdr:col>8</xdr:col>
      <xdr:colOff>1028700</xdr:colOff>
      <xdr:row>16</xdr:row>
      <xdr:rowOff>190500</xdr:rowOff>
    </xdr:to>
    <xdr:graphicFrame macro="">
      <xdr:nvGraphicFramePr>
        <xdr:cNvPr id="2" name="Chart 1">
          <a:extLst>
            <a:ext uri="{FF2B5EF4-FFF2-40B4-BE49-F238E27FC236}">
              <a16:creationId xmlns:a16="http://schemas.microsoft.com/office/drawing/2014/main" id="{81FAA85B-AB14-41DF-9CE1-35D2A92AFB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7620</xdr:colOff>
      <xdr:row>0</xdr:row>
      <xdr:rowOff>0</xdr:rowOff>
    </xdr:from>
    <xdr:to>
      <xdr:col>9</xdr:col>
      <xdr:colOff>312420</xdr:colOff>
      <xdr:row>14</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1083944</xdr:colOff>
      <xdr:row>15</xdr:row>
      <xdr:rowOff>9526</xdr:rowOff>
    </xdr:from>
    <xdr:to>
      <xdr:col>8</xdr:col>
      <xdr:colOff>81915</xdr:colOff>
      <xdr:row>18</xdr:row>
      <xdr:rowOff>161925</xdr:rowOff>
    </xdr:to>
    <mc:AlternateContent xmlns:mc="http://schemas.openxmlformats.org/markup-compatibility/2006">
      <mc:Choice xmlns:a14="http://schemas.microsoft.com/office/drawing/2010/main" Requires="a14">
        <xdr:graphicFrame macro="">
          <xdr:nvGraphicFramePr>
            <xdr:cNvPr id="4" name="Salesperson">
              <a:extLst>
                <a:ext uri="{FF2B5EF4-FFF2-40B4-BE49-F238E27FC236}">
                  <a16:creationId xmlns:a16="http://schemas.microsoft.com/office/drawing/2014/main" id="{45F3BF73-046C-BBE3-4501-D90940C51FC6}"/>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2973704" y="2981326"/>
              <a:ext cx="6267451" cy="746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7620</xdr:colOff>
      <xdr:row>0</xdr:row>
      <xdr:rowOff>7620</xdr:rowOff>
    </xdr:from>
    <xdr:to>
      <xdr:col>9</xdr:col>
      <xdr:colOff>15240</xdr:colOff>
      <xdr:row>13</xdr:row>
      <xdr:rowOff>190500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15239</xdr:colOff>
      <xdr:row>14</xdr:row>
      <xdr:rowOff>9525</xdr:rowOff>
    </xdr:from>
    <xdr:to>
      <xdr:col>7</xdr:col>
      <xdr:colOff>1083944</xdr:colOff>
      <xdr:row>21</xdr:row>
      <xdr:rowOff>95250</xdr:rowOff>
    </xdr:to>
    <mc:AlternateContent xmlns:mc="http://schemas.openxmlformats.org/markup-compatibility/2006">
      <mc:Choice xmlns:tsle="http://schemas.microsoft.com/office/drawing/2012/timeslicer" Requires="tsle">
        <xdr:graphicFrame macro="">
          <xdr:nvGraphicFramePr>
            <xdr:cNvPr id="3" name=" Order Date">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2/timeslicer">
              <tsle:timeslicer xmlns:tsle="http://schemas.microsoft.com/office/drawing/2012/timeslicer" name=" Order Date"/>
            </a:graphicData>
          </a:graphic>
        </xdr:graphicFrame>
      </mc:Choice>
      <mc:Fallback>
        <xdr:sp macro="" textlink="">
          <xdr:nvSpPr>
            <xdr:cNvPr id="0" name=""/>
            <xdr:cNvSpPr>
              <a:spLocks noTextEdit="1"/>
            </xdr:cNvSpPr>
          </xdr:nvSpPr>
          <xdr:spPr>
            <a:xfrm>
              <a:off x="3657599" y="2783205"/>
              <a:ext cx="5457825" cy="147256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13334</xdr:colOff>
      <xdr:row>0</xdr:row>
      <xdr:rowOff>195262</xdr:rowOff>
    </xdr:from>
    <xdr:to>
      <xdr:col>5</xdr:col>
      <xdr:colOff>299084</xdr:colOff>
      <xdr:row>14</xdr:row>
      <xdr:rowOff>0</xdr:rowOff>
    </xdr:to>
    <xdr:graphicFrame macro="">
      <xdr:nvGraphicFramePr>
        <xdr:cNvPr id="2" name="Chart 1">
          <a:extLst>
            <a:ext uri="{FF2B5EF4-FFF2-40B4-BE49-F238E27FC236}">
              <a16:creationId xmlns:a16="http://schemas.microsoft.com/office/drawing/2014/main" id="{3A9B0EEC-3E52-E745-A09A-D564A3CEFF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7621</xdr:colOff>
      <xdr:row>2</xdr:row>
      <xdr:rowOff>5714</xdr:rowOff>
    </xdr:from>
    <xdr:to>
      <xdr:col>6</xdr:col>
      <xdr:colOff>826771</xdr:colOff>
      <xdr:row>15</xdr:row>
      <xdr:rowOff>182879</xdr:rowOff>
    </xdr:to>
    <xdr:graphicFrame macro="">
      <xdr:nvGraphicFramePr>
        <xdr:cNvPr id="2" name="Chart 1">
          <a:extLst>
            <a:ext uri="{FF2B5EF4-FFF2-40B4-BE49-F238E27FC236}">
              <a16:creationId xmlns:a16="http://schemas.microsoft.com/office/drawing/2014/main" id="{87D07D23-D55B-2223-778C-7D62EC3B28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11430</xdr:colOff>
      <xdr:row>2</xdr:row>
      <xdr:rowOff>1905</xdr:rowOff>
    </xdr:from>
    <xdr:to>
      <xdr:col>8</xdr:col>
      <xdr:colOff>15240</xdr:colOff>
      <xdr:row>17</xdr:row>
      <xdr:rowOff>1905</xdr:rowOff>
    </xdr:to>
    <xdr:graphicFrame macro="">
      <xdr:nvGraphicFramePr>
        <xdr:cNvPr id="2" name="Chart 1">
          <a:extLst>
            <a:ext uri="{FF2B5EF4-FFF2-40B4-BE49-F238E27FC236}">
              <a16:creationId xmlns:a16="http://schemas.microsoft.com/office/drawing/2014/main" id="{00E348B5-F3DF-3E7D-5A10-A24797DDB5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22860</xdr:colOff>
      <xdr:row>2</xdr:row>
      <xdr:rowOff>7621</xdr:rowOff>
    </xdr:from>
    <xdr:to>
      <xdr:col>7</xdr:col>
      <xdr:colOff>609600</xdr:colOff>
      <xdr:row>5</xdr:row>
      <xdr:rowOff>32386</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4ECD5558-D777-9196-BAC5-3B48AAEDD41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50620" y="403861"/>
              <a:ext cx="4335780" cy="619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15240</xdr:colOff>
      <xdr:row>6</xdr:row>
      <xdr:rowOff>15241</xdr:rowOff>
    </xdr:from>
    <xdr:to>
      <xdr:col>9</xdr:col>
      <xdr:colOff>30480</xdr:colOff>
      <xdr:row>10</xdr:row>
      <xdr:rowOff>196217</xdr:rowOff>
    </xdr:to>
    <mc:AlternateContent xmlns:mc="http://schemas.openxmlformats.org/markup-compatibility/2006">
      <mc:Choice xmlns:a14="http://schemas.microsoft.com/office/drawing/2010/main" Requires="a14">
        <xdr:graphicFrame macro="">
          <xdr:nvGraphicFramePr>
            <xdr:cNvPr id="3" name="State">
              <a:extLst>
                <a:ext uri="{FF2B5EF4-FFF2-40B4-BE49-F238E27FC236}">
                  <a16:creationId xmlns:a16="http://schemas.microsoft.com/office/drawing/2014/main" id="{D3BCCF41-EC21-7971-7799-3078CC33F58A}"/>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143000" y="1203961"/>
              <a:ext cx="5013960" cy="9734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7620</xdr:colOff>
      <xdr:row>2</xdr:row>
      <xdr:rowOff>15241</xdr:rowOff>
    </xdr:from>
    <xdr:to>
      <xdr:col>6</xdr:col>
      <xdr:colOff>15240</xdr:colOff>
      <xdr:row>5</xdr:row>
      <xdr:rowOff>100965</xdr:rowOff>
    </xdr:to>
    <mc:AlternateContent xmlns:mc="http://schemas.openxmlformats.org/markup-compatibility/2006">
      <mc:Choice xmlns:a14="http://schemas.microsoft.com/office/drawing/2010/main" Requires="a14">
        <xdr:graphicFrame macro="">
          <xdr:nvGraphicFramePr>
            <xdr:cNvPr id="2" name="Product  Category">
              <a:extLst>
                <a:ext uri="{FF2B5EF4-FFF2-40B4-BE49-F238E27FC236}">
                  <a16:creationId xmlns:a16="http://schemas.microsoft.com/office/drawing/2014/main" id="{28BB339F-DAA0-564D-FC67-BFB7411BFC07}"/>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2423160" y="411481"/>
              <a:ext cx="4853940" cy="6800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9</xdr:row>
      <xdr:rowOff>66675</xdr:rowOff>
    </xdr:from>
    <xdr:to>
      <xdr:col>8</xdr:col>
      <xdr:colOff>342900</xdr:colOff>
      <xdr:row>17</xdr:row>
      <xdr:rowOff>9525</xdr:rowOff>
    </xdr:to>
    <mc:AlternateContent xmlns:mc="http://schemas.openxmlformats.org/markup-compatibility/2006" xmlns:tsle="http://schemas.microsoft.com/office/drawing/2012/timeslicer">
      <mc:Choice Requires="tsle">
        <xdr:graphicFrame macro="">
          <xdr:nvGraphicFramePr>
            <xdr:cNvPr id="5" name=" Order Date 1">
              <a:extLst>
                <a:ext uri="{FF2B5EF4-FFF2-40B4-BE49-F238E27FC236}">
                  <a16:creationId xmlns:a16="http://schemas.microsoft.com/office/drawing/2014/main" id="{15EBBE37-A83E-4906-826D-27B69A3CF721}"/>
                </a:ext>
              </a:extLst>
            </xdr:cNvPr>
            <xdr:cNvGraphicFramePr/>
          </xdr:nvGraphicFramePr>
          <xdr:xfrm>
            <a:off x="0" y="0"/>
            <a:ext cx="0" cy="0"/>
          </xdr:xfrm>
          <a:graphic>
            <a:graphicData uri="http://schemas.microsoft.com/office/drawing/2012/timeslicer">
              <tsle:timeslicer name=" Order Date 1"/>
            </a:graphicData>
          </a:graphic>
        </xdr:graphicFrame>
      </mc:Choice>
      <mc:Fallback xmlns="">
        <xdr:sp macro="" textlink="">
          <xdr:nvSpPr>
            <xdr:cNvPr id="0" name=""/>
            <xdr:cNvSpPr>
              <a:spLocks noTextEdit="1"/>
            </xdr:cNvSpPr>
          </xdr:nvSpPr>
          <xdr:spPr>
            <a:xfrm>
              <a:off x="76200" y="1781175"/>
              <a:ext cx="5107641" cy="1466850"/>
            </a:xfrm>
            <a:prstGeom prst="rect">
              <a:avLst/>
            </a:prstGeom>
            <a:solidFill>
              <a:prstClr val="white"/>
            </a:solidFill>
            <a:ln w="1">
              <a:solidFill>
                <a:prstClr val="green"/>
              </a:solidFill>
            </a:ln>
          </xdr:spPr>
          <xdr:txBody>
            <a:bodyPr vertOverflow="clip" horzOverflow="clip"/>
            <a:lstStyle/>
            <a:p>
              <a:r>
                <a:rPr lang="en-BB" sz="1100"/>
                <a:t>Timeline: Works in Excel 2013 or higher. Do not move or resize.</a:t>
              </a:r>
            </a:p>
          </xdr:txBody>
        </xdr:sp>
      </mc:Fallback>
    </mc:AlternateContent>
    <xdr:clientData/>
  </xdr:twoCellAnchor>
  <xdr:twoCellAnchor>
    <xdr:from>
      <xdr:col>8</xdr:col>
      <xdr:colOff>454960</xdr:colOff>
      <xdr:row>4</xdr:row>
      <xdr:rowOff>86847</xdr:rowOff>
    </xdr:from>
    <xdr:to>
      <xdr:col>18</xdr:col>
      <xdr:colOff>19050</xdr:colOff>
      <xdr:row>18</xdr:row>
      <xdr:rowOff>38101</xdr:rowOff>
    </xdr:to>
    <xdr:graphicFrame macro="">
      <xdr:nvGraphicFramePr>
        <xdr:cNvPr id="8" name="Chart 7">
          <a:extLst>
            <a:ext uri="{FF2B5EF4-FFF2-40B4-BE49-F238E27FC236}">
              <a16:creationId xmlns:a16="http://schemas.microsoft.com/office/drawing/2014/main" id="{BE346785-63B8-42DF-884C-1FF1E3D1D7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180412</xdr:colOff>
      <xdr:row>39</xdr:row>
      <xdr:rowOff>173691</xdr:rowOff>
    </xdr:from>
    <xdr:to>
      <xdr:col>32</xdr:col>
      <xdr:colOff>235322</xdr:colOff>
      <xdr:row>55</xdr:row>
      <xdr:rowOff>183216</xdr:rowOff>
    </xdr:to>
    <xdr:graphicFrame macro="">
      <xdr:nvGraphicFramePr>
        <xdr:cNvPr id="10" name="Chart 9">
          <a:extLst>
            <a:ext uri="{FF2B5EF4-FFF2-40B4-BE49-F238E27FC236}">
              <a16:creationId xmlns:a16="http://schemas.microsoft.com/office/drawing/2014/main" id="{99DF9A5B-520F-4BB4-9082-3B4FC908EF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123264</xdr:colOff>
      <xdr:row>8</xdr:row>
      <xdr:rowOff>123264</xdr:rowOff>
    </xdr:from>
    <xdr:to>
      <xdr:col>32</xdr:col>
      <xdr:colOff>224117</xdr:colOff>
      <xdr:row>23</xdr:row>
      <xdr:rowOff>142314</xdr:rowOff>
    </xdr:to>
    <xdr:graphicFrame macro="">
      <xdr:nvGraphicFramePr>
        <xdr:cNvPr id="11" name="Chart 10">
          <a:extLst>
            <a:ext uri="{FF2B5EF4-FFF2-40B4-BE49-F238E27FC236}">
              <a16:creationId xmlns:a16="http://schemas.microsoft.com/office/drawing/2014/main" id="{BA7BBFE5-99BC-4123-AB8F-871B6D7B65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134987</xdr:colOff>
      <xdr:row>23</xdr:row>
      <xdr:rowOff>186019</xdr:rowOff>
    </xdr:from>
    <xdr:to>
      <xdr:col>32</xdr:col>
      <xdr:colOff>224634</xdr:colOff>
      <xdr:row>39</xdr:row>
      <xdr:rowOff>17499</xdr:rowOff>
    </xdr:to>
    <xdr:graphicFrame macro="">
      <xdr:nvGraphicFramePr>
        <xdr:cNvPr id="12" name="Chart 11">
          <a:extLst>
            <a:ext uri="{FF2B5EF4-FFF2-40B4-BE49-F238E27FC236}">
              <a16:creationId xmlns:a16="http://schemas.microsoft.com/office/drawing/2014/main" id="{CE738ECD-AEF9-456A-92C8-CD739785D0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89647</xdr:colOff>
      <xdr:row>17</xdr:row>
      <xdr:rowOff>100853</xdr:rowOff>
    </xdr:from>
    <xdr:to>
      <xdr:col>8</xdr:col>
      <xdr:colOff>347382</xdr:colOff>
      <xdr:row>31</xdr:row>
      <xdr:rowOff>177053</xdr:rowOff>
    </xdr:to>
    <xdr:graphicFrame macro="">
      <xdr:nvGraphicFramePr>
        <xdr:cNvPr id="13" name="Chart 12">
          <a:extLst>
            <a:ext uri="{FF2B5EF4-FFF2-40B4-BE49-F238E27FC236}">
              <a16:creationId xmlns:a16="http://schemas.microsoft.com/office/drawing/2014/main" id="{BB185204-6A47-4A57-B26A-E05A3985F5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451436</xdr:colOff>
      <xdr:row>18</xdr:row>
      <xdr:rowOff>143558</xdr:rowOff>
    </xdr:from>
    <xdr:to>
      <xdr:col>18</xdr:col>
      <xdr:colOff>22411</xdr:colOff>
      <xdr:row>33</xdr:row>
      <xdr:rowOff>4493</xdr:rowOff>
    </xdr:to>
    <xdr:graphicFrame macro="">
      <xdr:nvGraphicFramePr>
        <xdr:cNvPr id="14" name="Chart 13">
          <a:extLst>
            <a:ext uri="{FF2B5EF4-FFF2-40B4-BE49-F238E27FC236}">
              <a16:creationId xmlns:a16="http://schemas.microsoft.com/office/drawing/2014/main" id="{387CD23F-DE8F-4613-9F40-B9FA95AC2A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95250</xdr:colOff>
      <xdr:row>34</xdr:row>
      <xdr:rowOff>149678</xdr:rowOff>
    </xdr:from>
    <xdr:to>
      <xdr:col>18</xdr:col>
      <xdr:colOff>2033</xdr:colOff>
      <xdr:row>54</xdr:row>
      <xdr:rowOff>68035</xdr:rowOff>
    </xdr:to>
    <xdr:graphicFrame macro="">
      <xdr:nvGraphicFramePr>
        <xdr:cNvPr id="15" name="Chart 14">
          <a:extLst>
            <a:ext uri="{FF2B5EF4-FFF2-40B4-BE49-F238E27FC236}">
              <a16:creationId xmlns:a16="http://schemas.microsoft.com/office/drawing/2014/main" id="{1267AD8B-8AEE-4141-8942-DDAD6D4016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18</xdr:col>
      <xdr:colOff>124608</xdr:colOff>
      <xdr:row>4</xdr:row>
      <xdr:rowOff>71718</xdr:rowOff>
    </xdr:from>
    <xdr:to>
      <xdr:col>32</xdr:col>
      <xdr:colOff>268941</xdr:colOff>
      <xdr:row>8</xdr:row>
      <xdr:rowOff>35859</xdr:rowOff>
    </xdr:to>
    <mc:AlternateContent xmlns:mc="http://schemas.openxmlformats.org/markup-compatibility/2006" xmlns:a14="http://schemas.microsoft.com/office/drawing/2010/main">
      <mc:Choice Requires="a14">
        <xdr:graphicFrame macro="">
          <xdr:nvGraphicFramePr>
            <xdr:cNvPr id="6" name="Salesperson 2">
              <a:extLst>
                <a:ext uri="{FF2B5EF4-FFF2-40B4-BE49-F238E27FC236}">
                  <a16:creationId xmlns:a16="http://schemas.microsoft.com/office/drawing/2014/main" id="{3E366F15-5150-9F95-646A-66606199CA28}"/>
                </a:ext>
              </a:extLst>
            </xdr:cNvPr>
            <xdr:cNvGraphicFramePr/>
          </xdr:nvGraphicFramePr>
          <xdr:xfrm>
            <a:off x="0" y="0"/>
            <a:ext cx="0" cy="0"/>
          </xdr:xfrm>
          <a:graphic>
            <a:graphicData uri="http://schemas.microsoft.com/office/drawing/2010/slicer">
              <sle:slicer xmlns:sle="http://schemas.microsoft.com/office/drawing/2010/slicer" name="Salesperson 2"/>
            </a:graphicData>
          </a:graphic>
        </xdr:graphicFrame>
      </mc:Choice>
      <mc:Fallback xmlns="">
        <xdr:sp macro="" textlink="">
          <xdr:nvSpPr>
            <xdr:cNvPr id="0" name=""/>
            <xdr:cNvSpPr>
              <a:spLocks noTextEdit="1"/>
            </xdr:cNvSpPr>
          </xdr:nvSpPr>
          <xdr:spPr>
            <a:xfrm>
              <a:off x="11016726" y="833718"/>
              <a:ext cx="8615980" cy="6925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128956</xdr:colOff>
      <xdr:row>0</xdr:row>
      <xdr:rowOff>160021</xdr:rowOff>
    </xdr:from>
    <xdr:to>
      <xdr:col>32</xdr:col>
      <xdr:colOff>222738</xdr:colOff>
      <xdr:row>3</xdr:row>
      <xdr:rowOff>152401</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E0479644-F614-8BCC-01F9-D97A2FE02BF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021074" y="160021"/>
              <a:ext cx="8565429" cy="563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93785</xdr:colOff>
      <xdr:row>0</xdr:row>
      <xdr:rowOff>56271</xdr:rowOff>
    </xdr:from>
    <xdr:to>
      <xdr:col>8</xdr:col>
      <xdr:colOff>363415</xdr:colOff>
      <xdr:row>3</xdr:row>
      <xdr:rowOff>175847</xdr:rowOff>
    </xdr:to>
    <mc:AlternateContent xmlns:mc="http://schemas.openxmlformats.org/markup-compatibility/2006" xmlns:a14="http://schemas.microsoft.com/office/drawing/2010/main">
      <mc:Choice Requires="a14">
        <xdr:graphicFrame macro="">
          <xdr:nvGraphicFramePr>
            <xdr:cNvPr id="16" name="Region 2">
              <a:extLst>
                <a:ext uri="{FF2B5EF4-FFF2-40B4-BE49-F238E27FC236}">
                  <a16:creationId xmlns:a16="http://schemas.microsoft.com/office/drawing/2014/main" id="{84A5C003-016A-94CB-1BE1-E74620B5DA3F}"/>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93785" y="56271"/>
              <a:ext cx="5110571" cy="6910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35753</xdr:colOff>
      <xdr:row>4</xdr:row>
      <xdr:rowOff>44549</xdr:rowOff>
    </xdr:from>
    <xdr:to>
      <xdr:col>8</xdr:col>
      <xdr:colOff>363415</xdr:colOff>
      <xdr:row>9</xdr:row>
      <xdr:rowOff>23447</xdr:rowOff>
    </xdr:to>
    <mc:AlternateContent xmlns:mc="http://schemas.openxmlformats.org/markup-compatibility/2006" xmlns:a14="http://schemas.microsoft.com/office/drawing/2010/main">
      <mc:Choice Requires="a14">
        <xdr:graphicFrame macro="">
          <xdr:nvGraphicFramePr>
            <xdr:cNvPr id="18" name="State 1">
              <a:extLst>
                <a:ext uri="{FF2B5EF4-FFF2-40B4-BE49-F238E27FC236}">
                  <a16:creationId xmlns:a16="http://schemas.microsoft.com/office/drawing/2014/main" id="{9E10BCF3-9D39-8148-B52E-E17A1F5B7FF4}"/>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35753" y="806549"/>
              <a:ext cx="5168603" cy="8865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Sales%20Dataset%20Pivot%20-%201,2.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26.639810069442" createdVersion="5" refreshedVersion="5" minRefreshableVersion="3" recordCount="500" xr:uid="{00000000-000A-0000-FFFF-FFFF08000000}">
  <cacheSource type="worksheet">
    <worksheetSource ref="A1:P501" sheet="SalesData"/>
  </cacheSource>
  <cacheFields count="16">
    <cacheField name="Order ID" numFmtId="0">
      <sharedItems/>
    </cacheField>
    <cacheField name=" Order Date" numFmtId="14">
      <sharedItems containsSemiMixedTypes="0" containsNonDate="0" containsDate="1" containsString="0" minDate="2025-01-02T00:00:00" maxDate="2026-01-01T00:00:00" count="271">
        <d v="2025-01-18T00:00:00"/>
        <d v="2025-10-11T00:00:00"/>
        <d v="2025-09-24T00:00:00"/>
        <d v="2025-05-28T00:00:00"/>
        <d v="2025-01-31T00:00:00"/>
        <d v="2025-11-05T00:00:00"/>
        <d v="2025-02-11T00:00:00"/>
        <d v="2025-03-28T00:00:00"/>
        <d v="2025-07-12T00:00:00"/>
        <d v="2025-12-18T00:00:00"/>
        <d v="2025-11-25T00:00:00"/>
        <d v="2025-02-20T00:00:00"/>
        <d v="2025-02-28T00:00:00"/>
        <d v="2025-01-30T00:00:00"/>
        <d v="2025-06-27T00:00:00"/>
        <d v="2025-07-03T00:00:00"/>
        <d v="2025-10-30T00:00:00"/>
        <d v="2025-05-17T00:00:00"/>
        <d v="2025-07-19T00:00:00"/>
        <d v="2025-08-02T00:00:00"/>
        <d v="2025-01-22T00:00:00"/>
        <d v="2025-12-17T00:00:00"/>
        <d v="2025-02-06T00:00:00"/>
        <d v="2025-02-16T00:00:00"/>
        <d v="2025-07-07T00:00:00"/>
        <d v="2025-10-09T00:00:00"/>
        <d v="2025-06-30T00:00:00"/>
        <d v="2025-02-24T00:00:00"/>
        <d v="2025-09-17T00:00:00"/>
        <d v="2025-05-04T00:00:00"/>
        <d v="2025-02-14T00:00:00"/>
        <d v="2025-01-20T00:00:00"/>
        <d v="2025-08-31T00:00:00"/>
        <d v="2025-07-14T00:00:00"/>
        <d v="2025-08-27T00:00:00"/>
        <d v="2025-02-27T00:00:00"/>
        <d v="2025-02-25T00:00:00"/>
        <d v="2025-04-18T00:00:00"/>
        <d v="2025-06-08T00:00:00"/>
        <d v="2025-10-29T00:00:00"/>
        <d v="2025-12-31T00:00:00"/>
        <d v="2025-06-17T00:00:00"/>
        <d v="2025-04-11T00:00:00"/>
        <d v="2025-03-20T00:00:00"/>
        <d v="2025-04-28T00:00:00"/>
        <d v="2025-11-16T00:00:00"/>
        <d v="2025-06-25T00:00:00"/>
        <d v="2025-11-01T00:00:00"/>
        <d v="2025-02-04T00:00:00"/>
        <d v="2025-04-19T00:00:00"/>
        <d v="2025-08-16T00:00:00"/>
        <d v="2025-03-17T00:00:00"/>
        <d v="2025-12-04T00:00:00"/>
        <d v="2025-06-28T00:00:00"/>
        <d v="2025-09-14T00:00:00"/>
        <d v="2025-02-17T00:00:00"/>
        <d v="2025-12-26T00:00:00"/>
        <d v="2025-09-28T00:00:00"/>
        <d v="2025-03-12T00:00:00"/>
        <d v="2025-02-08T00:00:00"/>
        <d v="2025-07-23T00:00:00"/>
        <d v="2025-06-19T00:00:00"/>
        <d v="2025-08-08T00:00:00"/>
        <d v="2025-09-03T00:00:00"/>
        <d v="2025-12-30T00:00:00"/>
        <d v="2025-11-21T00:00:00"/>
        <d v="2025-10-18T00:00:00"/>
        <d v="2025-08-11T00:00:00"/>
        <d v="2025-05-02T00:00:00"/>
        <d v="2025-04-02T00:00:00"/>
        <d v="2025-05-24T00:00:00"/>
        <d v="2025-05-19T00:00:00"/>
        <d v="2025-08-14T00:00:00"/>
        <d v="2025-03-15T00:00:00"/>
        <d v="2025-03-08T00:00:00"/>
        <d v="2025-02-01T00:00:00"/>
        <d v="2025-09-10T00:00:00"/>
        <d v="2025-10-14T00:00:00"/>
        <d v="2025-04-13T00:00:00"/>
        <d v="2025-12-21T00:00:00"/>
        <d v="2025-07-24T00:00:00"/>
        <d v="2025-06-26T00:00:00"/>
        <d v="2025-03-01T00:00:00"/>
        <d v="2025-10-28T00:00:00"/>
        <d v="2025-10-27T00:00:00"/>
        <d v="2025-11-14T00:00:00"/>
        <d v="2025-12-10T00:00:00"/>
        <d v="2025-03-19T00:00:00"/>
        <d v="2025-02-12T00:00:00"/>
        <d v="2025-07-02T00:00:00"/>
        <d v="2025-03-24T00:00:00"/>
        <d v="2025-04-09T00:00:00"/>
        <d v="2025-05-14T00:00:00"/>
        <d v="2025-12-05T00:00:00"/>
        <d v="2025-12-24T00:00:00"/>
        <d v="2025-08-24T00:00:00"/>
        <d v="2025-11-28T00:00:00"/>
        <d v="2025-01-13T00:00:00"/>
        <d v="2025-10-20T00:00:00"/>
        <d v="2025-05-15T00:00:00"/>
        <d v="2025-02-05T00:00:00"/>
        <d v="2025-05-18T00:00:00"/>
        <d v="2025-05-22T00:00:00"/>
        <d v="2025-05-10T00:00:00"/>
        <d v="2025-09-29T00:00:00"/>
        <d v="2025-07-22T00:00:00"/>
        <d v="2025-11-13T00:00:00"/>
        <d v="2025-01-05T00:00:00"/>
        <d v="2025-01-25T00:00:00"/>
        <d v="2025-02-15T00:00:00"/>
        <d v="2025-12-12T00:00:00"/>
        <d v="2025-10-10T00:00:00"/>
        <d v="2025-11-29T00:00:00"/>
        <d v="2025-05-11T00:00:00"/>
        <d v="2025-12-22T00:00:00"/>
        <d v="2025-03-04T00:00:00"/>
        <d v="2025-04-16T00:00:00"/>
        <d v="2025-07-28T00:00:00"/>
        <d v="2025-05-27T00:00:00"/>
        <d v="2025-12-28T00:00:00"/>
        <d v="2025-05-05T00:00:00"/>
        <d v="2025-09-23T00:00:00"/>
        <d v="2025-06-20T00:00:00"/>
        <d v="2025-05-12T00:00:00"/>
        <d v="2025-01-16T00:00:00"/>
        <d v="2025-03-29T00:00:00"/>
        <d v="2025-10-22T00:00:00"/>
        <d v="2025-01-14T00:00:00"/>
        <d v="2025-12-27T00:00:00"/>
        <d v="2025-09-13T00:00:00"/>
        <d v="2025-01-02T00:00:00"/>
        <d v="2025-03-05T00:00:00"/>
        <d v="2025-12-16T00:00:00"/>
        <d v="2025-05-20T00:00:00"/>
        <d v="2025-11-03T00:00:00"/>
        <d v="2025-11-23T00:00:00"/>
        <d v="2025-04-25T00:00:00"/>
        <d v="2025-12-08T00:00:00"/>
        <d v="2025-08-03T00:00:00"/>
        <d v="2025-11-22T00:00:00"/>
        <d v="2025-01-17T00:00:00"/>
        <d v="2025-06-23T00:00:00"/>
        <d v="2025-03-30T00:00:00"/>
        <d v="2025-07-08T00:00:00"/>
        <d v="2025-04-07T00:00:00"/>
        <d v="2025-11-24T00:00:00"/>
        <d v="2025-02-13T00:00:00"/>
        <d v="2025-02-22T00:00:00"/>
        <d v="2025-01-03T00:00:00"/>
        <d v="2025-10-17T00:00:00"/>
        <d v="2025-08-29T00:00:00"/>
        <d v="2025-07-05T00:00:00"/>
        <d v="2025-08-20T00:00:00"/>
        <d v="2025-01-15T00:00:00"/>
        <d v="2025-05-01T00:00:00"/>
        <d v="2025-06-16T00:00:00"/>
        <d v="2025-06-15T00:00:00"/>
        <d v="2025-01-19T00:00:00"/>
        <d v="2025-11-08T00:00:00"/>
        <d v="2025-08-05T00:00:00"/>
        <d v="2025-03-13T00:00:00"/>
        <d v="2025-09-05T00:00:00"/>
        <d v="2025-06-14T00:00:00"/>
        <d v="2025-04-05T00:00:00"/>
        <d v="2025-12-11T00:00:00"/>
        <d v="2025-01-21T00:00:00"/>
        <d v="2025-07-25T00:00:00"/>
        <d v="2025-12-09T00:00:00"/>
        <d v="2025-02-23T00:00:00"/>
        <d v="2025-01-29T00:00:00"/>
        <d v="2025-06-21T00:00:00"/>
        <d v="2025-02-09T00:00:00"/>
        <d v="2025-06-11T00:00:00"/>
        <d v="2025-03-02T00:00:00"/>
        <d v="2025-08-04T00:00:00"/>
        <d v="2025-01-12T00:00:00"/>
        <d v="2025-03-27T00:00:00"/>
        <d v="2025-07-16T00:00:00"/>
        <d v="2025-12-23T00:00:00"/>
        <d v="2025-05-25T00:00:00"/>
        <d v="2025-04-23T00:00:00"/>
        <d v="2025-10-06T00:00:00"/>
        <d v="2025-04-04T00:00:00"/>
        <d v="2025-05-31T00:00:00"/>
        <d v="2025-02-03T00:00:00"/>
        <d v="2025-08-13T00:00:00"/>
        <d v="2025-10-26T00:00:00"/>
        <d v="2025-05-26T00:00:00"/>
        <d v="2025-08-09T00:00:00"/>
        <d v="2025-12-20T00:00:00"/>
        <d v="2025-09-26T00:00:00"/>
        <d v="2025-08-28T00:00:00"/>
        <d v="2025-11-17T00:00:00"/>
        <d v="2025-12-01T00:00:00"/>
        <d v="2025-04-17T00:00:00"/>
        <d v="2025-10-01T00:00:00"/>
        <d v="2025-10-24T00:00:00"/>
        <d v="2025-04-15T00:00:00"/>
        <d v="2025-05-08T00:00:00"/>
        <d v="2025-06-29T00:00:00"/>
        <d v="2025-09-21T00:00:00"/>
        <d v="2025-12-29T00:00:00"/>
        <d v="2025-03-31T00:00:00"/>
        <d v="2025-04-26T00:00:00"/>
        <d v="2025-03-25T00:00:00"/>
        <d v="2025-07-09T00:00:00"/>
        <d v="2025-12-07T00:00:00"/>
        <d v="2025-06-24T00:00:00"/>
        <d v="2025-04-22T00:00:00"/>
        <d v="2025-05-07T00:00:00"/>
        <d v="2025-10-23T00:00:00"/>
        <d v="2025-05-23T00:00:00"/>
        <d v="2025-11-06T00:00:00"/>
        <d v="2025-07-04T00:00:00"/>
        <d v="2025-03-10T00:00:00"/>
        <d v="2025-06-09T00:00:00"/>
        <d v="2025-02-19T00:00:00"/>
        <d v="2025-03-21T00:00:00"/>
        <d v="2025-03-09T00:00:00"/>
        <d v="2025-08-26T00:00:00"/>
        <d v="2025-02-18T00:00:00"/>
        <d v="2025-06-10T00:00:00"/>
        <d v="2025-11-02T00:00:00"/>
        <d v="2025-10-08T00:00:00"/>
        <d v="2025-11-10T00:00:00"/>
        <d v="2025-07-06T00:00:00"/>
        <d v="2025-05-21T00:00:00"/>
        <d v="2025-01-09T00:00:00"/>
        <d v="2025-08-10T00:00:00"/>
        <d v="2025-12-15T00:00:00"/>
        <d v="2025-09-11T00:00:00"/>
        <d v="2025-10-31T00:00:00"/>
        <d v="2025-01-26T00:00:00"/>
        <d v="2025-09-02T00:00:00"/>
        <d v="2025-07-15T00:00:00"/>
        <d v="2025-11-18T00:00:00"/>
        <d v="2025-05-09T00:00:00"/>
        <d v="2025-04-01T00:00:00"/>
        <d v="2025-12-19T00:00:00"/>
        <d v="2025-06-13T00:00:00"/>
        <d v="2025-06-03T00:00:00"/>
        <d v="2025-01-23T00:00:00"/>
        <d v="2025-09-04T00:00:00"/>
        <d v="2025-10-16T00:00:00"/>
        <d v="2025-08-25T00:00:00"/>
        <d v="2025-11-04T00:00:00"/>
        <d v="2025-01-28T00:00:00"/>
        <d v="2025-12-14T00:00:00"/>
        <d v="2025-02-02T00:00:00"/>
        <d v="2025-03-22T00:00:00"/>
        <d v="2025-07-11T00:00:00"/>
        <d v="2025-10-13T00:00:00"/>
        <d v="2025-04-06T00:00:00"/>
        <d v="2025-01-06T00:00:00"/>
        <d v="2025-04-27T00:00:00"/>
        <d v="2025-09-01T00:00:00"/>
        <d v="2025-06-05T00:00:00"/>
        <d v="2025-12-13T00:00:00"/>
        <d v="2025-10-15T00:00:00"/>
        <d v="2025-03-16T00:00:00"/>
        <d v="2025-09-12T00:00:00"/>
        <d v="2025-11-20T00:00:00"/>
        <d v="2025-11-15T00:00:00"/>
        <d v="2025-08-19T00:00:00"/>
        <d v="2025-07-30T00:00:00"/>
        <d v="2025-09-09T00:00:00"/>
        <d v="2025-09-07T00:00:00"/>
        <d v="2025-03-07T00:00:00"/>
        <d v="2025-02-26T00:00:00"/>
        <d v="2025-04-20T00:00:00"/>
        <d v="2025-05-30T00:00:00"/>
      </sharedItems>
      <fieldGroup base="1">
        <rangePr groupBy="months" startDate="2025-01-02T00:00:00" endDate="2026-01-01T00:00:00"/>
        <groupItems count="14">
          <s v="&lt;02-01-2025"/>
          <s v="Jan"/>
          <s v="Feb"/>
          <s v="Mar"/>
          <s v="Apr"/>
          <s v="May"/>
          <s v="Jun"/>
          <s v="Jul"/>
          <s v="Aug"/>
          <s v="Sep"/>
          <s v="Oct"/>
          <s v="Nov"/>
          <s v="Dec"/>
          <s v="&gt;01-01-2026"/>
        </groupItems>
      </fieldGroup>
    </cacheField>
    <cacheField name="Region" numFmtId="0">
      <sharedItems count="4">
        <s v="West"/>
        <s v="North"/>
        <s v="East"/>
        <s v="South"/>
      </sharedItems>
    </cacheField>
    <cacheField name="State" numFmtId="0">
      <sharedItems/>
    </cacheField>
    <cacheField name="Salesperson" numFmtId="0">
      <sharedItems count="6">
        <s v="Priya"/>
        <s v="Rahul"/>
        <s v="Anita"/>
        <s v="Arjun"/>
        <s v="Sneha"/>
        <s v="Kiran"/>
      </sharedItems>
    </cacheField>
    <cacheField name="Customer" numFmtId="0">
      <sharedItems/>
    </cacheField>
    <cacheField name="Category" numFmtId="0">
      <sharedItems/>
    </cacheField>
    <cacheField name="Product" numFmtId="0">
      <sharedItems/>
    </cacheField>
    <cacheField name="Quantity" numFmtId="0">
      <sharedItems containsSemiMixedTypes="0" containsString="0" containsNumber="1" containsInteger="1" minValue="1" maxValue="10"/>
    </cacheField>
    <cacheField name="Unit Price" numFmtId="0">
      <sharedItems containsSemiMixedTypes="0" containsString="0" containsNumber="1" containsInteger="1" minValue="800" maxValue="55000"/>
    </cacheField>
    <cacheField name="Discount %" numFmtId="10">
      <sharedItems containsSemiMixedTypes="0" containsString="0" containsNumber="1" containsInteger="1" minValue="0" maxValue="15"/>
    </cacheField>
    <cacheField name="Sales" numFmtId="2">
      <sharedItems containsSemiMixedTypes="0" containsString="0" containsNumber="1" containsInteger="1" minValue="680" maxValue="550000"/>
    </cacheField>
    <cacheField name="Cost" numFmtId="2">
      <sharedItems containsSemiMixedTypes="0" containsString="0" containsNumber="1" minValue="446.78" maxValue="437846.98"/>
    </cacheField>
    <cacheField name="Profit" numFmtId="0">
      <sharedItems containsSemiMixedTypes="0" containsString="0" containsNumber="1" minValue="71.680000000000007" maxValue="145793.91"/>
    </cacheField>
    <cacheField name="Payment Mode" numFmtId="0">
      <sharedItems/>
    </cacheField>
    <cacheField name="Date" numFmtId="14">
      <sharedItems containsDate="1" containsMixedTypes="1" minDate="2025-01-02T00:00:00" maxDate="2026-01-01T00:00:00"/>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wanth S S" refreshedDate="46225.70973923611" createdVersion="8" refreshedVersion="8" minRefreshableVersion="3" recordCount="500" xr:uid="{7E35CB7F-56B9-4726-B0E5-5750AB664386}">
  <cacheSource type="worksheet">
    <worksheetSource name="Table1" r:id="rId2"/>
  </cacheSource>
  <cacheFields count="15">
    <cacheField name="Order ID" numFmtId="0">
      <sharedItems/>
    </cacheField>
    <cacheField name="Order Date" numFmtId="0">
      <sharedItems/>
    </cacheField>
    <cacheField name="Region" numFmtId="0">
      <sharedItems count="4">
        <s v="West"/>
        <s v="North"/>
        <s v="East"/>
        <s v="South"/>
      </sharedItems>
    </cacheField>
    <cacheField name="State" numFmtId="0">
      <sharedItems/>
    </cacheField>
    <cacheField name="Salesperson" numFmtId="0">
      <sharedItems/>
    </cacheField>
    <cacheField name="Customer" numFmtId="0">
      <sharedItems/>
    </cacheField>
    <cacheField name="Category" numFmtId="0">
      <sharedItems count="3">
        <s v="Electronics"/>
        <s v="Furniture"/>
        <s v="Accessories"/>
      </sharedItems>
    </cacheField>
    <cacheField name="Product" numFmtId="0">
      <sharedItems/>
    </cacheField>
    <cacheField name="Quantity" numFmtId="0">
      <sharedItems containsSemiMixedTypes="0" containsString="0" containsNumber="1" containsInteger="1" minValue="1" maxValue="10"/>
    </cacheField>
    <cacheField name="Unit Price" numFmtId="0">
      <sharedItems containsSemiMixedTypes="0" containsString="0" containsNumber="1" containsInteger="1" minValue="800" maxValue="55000"/>
    </cacheField>
    <cacheField name="Discount %" numFmtId="0">
      <sharedItems containsSemiMixedTypes="0" containsString="0" containsNumber="1" containsInteger="1" minValue="0" maxValue="15"/>
    </cacheField>
    <cacheField name="Sales" numFmtId="0">
      <sharedItems containsSemiMixedTypes="0" containsString="0" containsNumber="1" containsInteger="1" minValue="680" maxValue="550000"/>
    </cacheField>
    <cacheField name="Cost" numFmtId="0">
      <sharedItems containsSemiMixedTypes="0" containsString="0" containsNumber="1" minValue="446.78" maxValue="437846.98"/>
    </cacheField>
    <cacheField name="Profit" numFmtId="0">
      <sharedItems containsSemiMixedTypes="0" containsString="0" containsNumber="1" minValue="71.680000000000007" maxValue="145793.91"/>
    </cacheField>
    <cacheField name="Payment Mode" numFmtId="0">
      <sharedItems/>
    </cacheField>
  </cacheFields>
  <extLst>
    <ext xmlns:x14="http://schemas.microsoft.com/office/spreadsheetml/2009/9/main" uri="{725AE2AE-9491-48be-B2B4-4EB974FC3084}">
      <x14:pivotCacheDefinition pivotCacheId="105489350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26.873924884261" createdVersion="8" refreshedVersion="8" minRefreshableVersion="3" recordCount="501" xr:uid="{553D2711-B9C8-46BB-A458-4E0F3137D889}">
  <cacheSource type="worksheet">
    <worksheetSource ref="A1:P1048576" sheet="SalesData"/>
  </cacheSource>
  <cacheFields count="16">
    <cacheField name="Order ID" numFmtId="0">
      <sharedItems containsBlank="1"/>
    </cacheField>
    <cacheField name=" Order Date" numFmtId="0">
      <sharedItems containsNonDate="0" containsDate="1" containsString="0" containsBlank="1" minDate="2025-01-02T00:00:00" maxDate="2026-01-01T00:00:00"/>
    </cacheField>
    <cacheField name="Region" numFmtId="0">
      <sharedItems containsBlank="1" count="5">
        <s v="West"/>
        <s v="North"/>
        <s v="East"/>
        <s v="South"/>
        <m/>
      </sharedItems>
    </cacheField>
    <cacheField name="State" numFmtId="0">
      <sharedItems containsBlank="1" count="11">
        <s v="Maharashtra"/>
        <s v="Haryana"/>
        <s v="Odisha"/>
        <s v="Telangana"/>
        <s v="West Bengal"/>
        <s v="Gujarat"/>
        <s v="Delhi"/>
        <s v="Karnataka"/>
        <s v="Punjab"/>
        <s v="Tamil Nadu"/>
        <m/>
      </sharedItems>
    </cacheField>
    <cacheField name="Salesperson" numFmtId="0">
      <sharedItems containsBlank="1" count="7">
        <s v="Priya"/>
        <s v="Rahul"/>
        <s v="Anita"/>
        <s v="Arjun"/>
        <s v="Sneha"/>
        <s v="Kiran"/>
        <m/>
      </sharedItems>
    </cacheField>
    <cacheField name="Customer" numFmtId="0">
      <sharedItems containsBlank="1"/>
    </cacheField>
    <cacheField name="Category" numFmtId="0">
      <sharedItems containsBlank="1" count="4">
        <s v="Electronics"/>
        <s v="Furniture"/>
        <s v="Accessories"/>
        <m/>
      </sharedItems>
    </cacheField>
    <cacheField name="Product" numFmtId="0">
      <sharedItems containsBlank="1"/>
    </cacheField>
    <cacheField name="Quantity" numFmtId="0">
      <sharedItems containsString="0" containsBlank="1" containsNumber="1" containsInteger="1" minValue="1" maxValue="10"/>
    </cacheField>
    <cacheField name="Unit Price" numFmtId="0">
      <sharedItems containsString="0" containsBlank="1" containsNumber="1" containsInteger="1" minValue="800" maxValue="55000"/>
    </cacheField>
    <cacheField name="Discount %" numFmtId="0">
      <sharedItems containsString="0" containsBlank="1" containsNumber="1" containsInteger="1" minValue="0" maxValue="15"/>
    </cacheField>
    <cacheField name="Sales" numFmtId="0">
      <sharedItems containsString="0" containsBlank="1" containsNumber="1" containsInteger="1" minValue="680" maxValue="550000"/>
    </cacheField>
    <cacheField name="Cost" numFmtId="0">
      <sharedItems containsString="0" containsBlank="1" containsNumber="1" minValue="446.78" maxValue="437846.98"/>
    </cacheField>
    <cacheField name="Profit" numFmtId="0">
      <sharedItems containsString="0" containsBlank="1" containsNumber="1" minValue="71.680000000000007" maxValue="145793.91"/>
    </cacheField>
    <cacheField name="Payment Mode" numFmtId="0">
      <sharedItems containsBlank="1"/>
    </cacheField>
    <cacheField name="Date" numFmtId="0">
      <sharedItems containsDate="1" containsBlank="1" containsMixedTypes="1" minDate="2025-01-02T00:00:00" maxDate="2026-01-01T00:00:00"/>
    </cacheField>
  </cacheFields>
  <extLst>
    <ext xmlns:x14="http://schemas.microsoft.com/office/spreadsheetml/2009/9/main" uri="{725AE2AE-9491-48be-B2B4-4EB974FC3084}">
      <x14:pivotCacheDefinition pivotCacheId="2675390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00001"/>
    <x v="0"/>
    <x v="0"/>
    <s v="Maharashtra"/>
    <x v="0"/>
    <s v="XYZ Ltd"/>
    <s v="Electronics"/>
    <s v="Monitor"/>
    <n v="6"/>
    <n v="12000"/>
    <n v="15"/>
    <n v="61200"/>
    <n v="51357.36"/>
    <n v="9842.64"/>
    <s v="Cash"/>
    <d v="2025-01-18T00:00:00"/>
  </r>
  <r>
    <s v="ORD00002"/>
    <x v="1"/>
    <x v="1"/>
    <s v="Haryana"/>
    <x v="1"/>
    <s v="XYZ Ltd"/>
    <s v="Furniture"/>
    <s v="Office Chair"/>
    <n v="10"/>
    <n v="6000"/>
    <n v="10"/>
    <n v="54000"/>
    <n v="48335.28"/>
    <n v="5664.72"/>
    <s v="Net Banking"/>
    <d v="2025-10-11T00:00:00"/>
  </r>
  <r>
    <s v="ORD00003"/>
    <x v="2"/>
    <x v="2"/>
    <s v="Odisha"/>
    <x v="2"/>
    <s v="XYZ Ltd"/>
    <s v="Furniture"/>
    <s v="Office Chair"/>
    <n v="8"/>
    <n v="6000"/>
    <n v="10"/>
    <n v="43200"/>
    <n v="35469.01"/>
    <n v="7730.99"/>
    <s v="UPI"/>
    <d v="2025-09-24T00:00:00"/>
  </r>
  <r>
    <s v="ORD00004"/>
    <x v="3"/>
    <x v="2"/>
    <s v="Odisha"/>
    <x v="3"/>
    <s v="Global Mart"/>
    <s v="Accessories"/>
    <s v="USB Drive"/>
    <n v="2"/>
    <n v="900"/>
    <n v="10"/>
    <n v="1620"/>
    <n v="1310.0899999999999"/>
    <n v="309.91000000000003"/>
    <s v="Net Banking"/>
    <d v="2025-05-28T00:00:00"/>
  </r>
  <r>
    <s v="ORD00005"/>
    <x v="4"/>
    <x v="3"/>
    <s v="Telangana"/>
    <x v="0"/>
    <s v="Prime Stores"/>
    <s v="Electronics"/>
    <s v="Laptop"/>
    <n v="10"/>
    <n v="55000"/>
    <n v="5"/>
    <n v="522500"/>
    <n v="376706.09"/>
    <n v="145793.91"/>
    <s v="Card"/>
    <d v="2025-01-31T00:00:00"/>
  </r>
  <r>
    <s v="ORD00006"/>
    <x v="5"/>
    <x v="1"/>
    <s v="Haryana"/>
    <x v="0"/>
    <s v="Global Mart"/>
    <s v="Electronics"/>
    <s v="Laptop"/>
    <n v="5"/>
    <n v="55000"/>
    <n v="10"/>
    <n v="247500"/>
    <n v="191855.13"/>
    <n v="55644.87"/>
    <s v="Card"/>
    <d v="2025-11-05T00:00:00"/>
  </r>
  <r>
    <s v="ORD00007"/>
    <x v="6"/>
    <x v="1"/>
    <s v="Haryana"/>
    <x v="0"/>
    <s v="Prime Stores"/>
    <s v="Furniture"/>
    <s v="Office Chair"/>
    <n v="3"/>
    <n v="6000"/>
    <n v="15"/>
    <n v="15300"/>
    <n v="10692.52"/>
    <n v="4607.4799999999996"/>
    <s v="Card"/>
    <d v="2025-02-11T00:00:00"/>
  </r>
  <r>
    <s v="ORD00008"/>
    <x v="7"/>
    <x v="3"/>
    <s v="Telangana"/>
    <x v="4"/>
    <s v="Prime Stores"/>
    <s v="Accessories"/>
    <s v="USB Drive"/>
    <n v="7"/>
    <n v="900"/>
    <n v="0"/>
    <n v="6300"/>
    <n v="4517.74"/>
    <n v="1782.26"/>
    <s v="Card"/>
    <d v="2025-03-28T00:00:00"/>
  </r>
  <r>
    <s v="ORD00009"/>
    <x v="8"/>
    <x v="2"/>
    <s v="West Bengal"/>
    <x v="4"/>
    <s v="Vision Corp"/>
    <s v="Electronics"/>
    <s v="Keyboard"/>
    <n v="7"/>
    <n v="1500"/>
    <n v="5"/>
    <n v="9975"/>
    <n v="8501.52"/>
    <n v="1473.48"/>
    <s v="UPI"/>
    <d v="2025-07-12T00:00:00"/>
  </r>
  <r>
    <s v="ORD00010"/>
    <x v="9"/>
    <x v="2"/>
    <s v="Odisha"/>
    <x v="0"/>
    <s v="Global Mart"/>
    <s v="Electronics"/>
    <s v="Laptop"/>
    <n v="6"/>
    <n v="55000"/>
    <n v="0"/>
    <n v="330000"/>
    <n v="248968.11"/>
    <n v="81031.89"/>
    <s v="Cash"/>
    <d v="2025-12-18T00:00:00"/>
  </r>
  <r>
    <s v="ORD00011"/>
    <x v="10"/>
    <x v="0"/>
    <s v="Gujarat"/>
    <x v="3"/>
    <s v="Vision Corp"/>
    <s v="Accessories"/>
    <s v="Headset"/>
    <n v="7"/>
    <n v="2500"/>
    <n v="0"/>
    <n v="17500"/>
    <n v="15408.14"/>
    <n v="2091.86"/>
    <s v="Net Banking"/>
    <d v="2025-11-25T00:00:00"/>
  </r>
  <r>
    <s v="ORD00012"/>
    <x v="11"/>
    <x v="1"/>
    <s v="Delhi"/>
    <x v="5"/>
    <s v="XYZ Ltd"/>
    <s v="Accessories"/>
    <s v="Headset"/>
    <n v="6"/>
    <n v="2500"/>
    <n v="5"/>
    <n v="14250"/>
    <n v="12303.51"/>
    <n v="1946.49"/>
    <s v="UPI"/>
    <d v="2025-02-20T00:00:00"/>
  </r>
  <r>
    <s v="ORD00013"/>
    <x v="12"/>
    <x v="3"/>
    <s v="Karnataka"/>
    <x v="0"/>
    <s v="ABC Pvt Ltd"/>
    <s v="Accessories"/>
    <s v="Headset"/>
    <n v="10"/>
    <n v="2500"/>
    <n v="5"/>
    <n v="23750"/>
    <n v="16851.3"/>
    <n v="6898.7"/>
    <s v="Card"/>
    <d v="2025-02-28T00:00:00"/>
  </r>
  <r>
    <s v="ORD00014"/>
    <x v="13"/>
    <x v="2"/>
    <s v="West Bengal"/>
    <x v="5"/>
    <s v="XYZ Ltd"/>
    <s v="Accessories"/>
    <s v="USB Drive"/>
    <n v="4"/>
    <n v="900"/>
    <n v="5"/>
    <n v="3420"/>
    <n v="2819.67"/>
    <n v="600.33000000000004"/>
    <s v="Cash"/>
    <d v="2025-01-30T00:00:00"/>
  </r>
  <r>
    <s v="ORD00015"/>
    <x v="14"/>
    <x v="0"/>
    <s v="Gujarat"/>
    <x v="4"/>
    <s v="Tech Solutions"/>
    <s v="Electronics"/>
    <s v="Monitor"/>
    <n v="5"/>
    <n v="12000"/>
    <n v="10"/>
    <n v="54000"/>
    <n v="39256.550000000003"/>
    <n v="14743.45"/>
    <s v="UPI"/>
    <d v="2025-06-27T00:00:00"/>
  </r>
  <r>
    <s v="ORD00016"/>
    <x v="15"/>
    <x v="2"/>
    <s v="West Bengal"/>
    <x v="0"/>
    <s v="Prime Stores"/>
    <s v="Electronics"/>
    <s v="Keyboard"/>
    <n v="10"/>
    <n v="1500"/>
    <n v="10"/>
    <n v="13500"/>
    <n v="9924.7800000000007"/>
    <n v="3575.22"/>
    <s v="UPI"/>
    <d v="2025-07-03T00:00:00"/>
  </r>
  <r>
    <s v="ORD00017"/>
    <x v="16"/>
    <x v="3"/>
    <s v="Telangana"/>
    <x v="4"/>
    <s v="Vision Corp"/>
    <s v="Electronics"/>
    <s v="Monitor"/>
    <n v="7"/>
    <n v="12000"/>
    <n v="15"/>
    <n v="71400"/>
    <n v="46799.82"/>
    <n v="24600.18"/>
    <s v="Net Banking"/>
    <d v="2025-10-30T00:00:00"/>
  </r>
  <r>
    <s v="ORD00018"/>
    <x v="17"/>
    <x v="2"/>
    <s v="Odisha"/>
    <x v="5"/>
    <s v="XYZ Ltd"/>
    <s v="Furniture"/>
    <s v="Office Chair"/>
    <n v="1"/>
    <n v="6000"/>
    <n v="15"/>
    <n v="5100"/>
    <n v="4307.7299999999996"/>
    <n v="792.27"/>
    <s v="UPI"/>
    <d v="2025-05-17T00:00:00"/>
  </r>
  <r>
    <s v="ORD00019"/>
    <x v="18"/>
    <x v="3"/>
    <s v="Karnataka"/>
    <x v="3"/>
    <s v="ABC Pvt Ltd"/>
    <s v="Furniture"/>
    <s v="Desk"/>
    <n v="6"/>
    <n v="10000"/>
    <n v="0"/>
    <n v="60000"/>
    <n v="39574.47"/>
    <n v="20425.53"/>
    <s v="UPI"/>
    <d v="2025-07-19T00:00:00"/>
  </r>
  <r>
    <s v="ORD00020"/>
    <x v="19"/>
    <x v="1"/>
    <s v="Delhi"/>
    <x v="3"/>
    <s v="Prime Stores"/>
    <s v="Accessories"/>
    <s v="Mouse"/>
    <n v="10"/>
    <n v="800"/>
    <n v="5"/>
    <n v="7600"/>
    <n v="6327.31"/>
    <n v="1272.69"/>
    <s v="Cash"/>
    <d v="2025-08-02T00:00:00"/>
  </r>
  <r>
    <s v="ORD00021"/>
    <x v="20"/>
    <x v="1"/>
    <s v="Delhi"/>
    <x v="2"/>
    <s v="Global Mart"/>
    <s v="Electronics"/>
    <s v="Monitor"/>
    <n v="9"/>
    <n v="12000"/>
    <n v="0"/>
    <n v="108000"/>
    <n v="77674.86"/>
    <n v="30325.14"/>
    <s v="Cash"/>
    <d v="2025-01-22T00:00:00"/>
  </r>
  <r>
    <s v="ORD00022"/>
    <x v="21"/>
    <x v="3"/>
    <s v="Telangana"/>
    <x v="4"/>
    <s v="Global Mart"/>
    <s v="Accessories"/>
    <s v="Headset"/>
    <n v="5"/>
    <n v="2500"/>
    <n v="15"/>
    <n v="10625"/>
    <n v="8568.06"/>
    <n v="2056.94"/>
    <s v="Net Banking"/>
    <d v="2025-12-17T00:00:00"/>
  </r>
  <r>
    <s v="ORD00023"/>
    <x v="22"/>
    <x v="0"/>
    <s v="Maharashtra"/>
    <x v="2"/>
    <s v="Vision Corp"/>
    <s v="Accessories"/>
    <s v="Headset"/>
    <n v="2"/>
    <n v="2500"/>
    <n v="5"/>
    <n v="4750"/>
    <n v="4210.2"/>
    <n v="539.79999999999995"/>
    <s v="Card"/>
    <d v="2025-02-06T00:00:00"/>
  </r>
  <r>
    <s v="ORD00024"/>
    <x v="23"/>
    <x v="1"/>
    <s v="Haryana"/>
    <x v="1"/>
    <s v="Prime Stores"/>
    <s v="Electronics"/>
    <s v="Keyboard"/>
    <n v="5"/>
    <n v="1500"/>
    <n v="10"/>
    <n v="6750"/>
    <n v="4744.92"/>
    <n v="2005.08"/>
    <s v="Net Banking"/>
    <d v="2025-02-16T00:00:00"/>
  </r>
  <r>
    <s v="ORD00025"/>
    <x v="24"/>
    <x v="0"/>
    <s v="Gujarat"/>
    <x v="0"/>
    <s v="Prime Stores"/>
    <s v="Electronics"/>
    <s v="Monitor"/>
    <n v="3"/>
    <n v="12000"/>
    <n v="5"/>
    <n v="34200"/>
    <n v="22581.33"/>
    <n v="11618.67"/>
    <s v="Cash"/>
    <d v="2025-07-07T00:00:00"/>
  </r>
  <r>
    <s v="ORD00026"/>
    <x v="25"/>
    <x v="2"/>
    <s v="West Bengal"/>
    <x v="0"/>
    <s v="ABC Pvt Ltd"/>
    <s v="Furniture"/>
    <s v="Desk"/>
    <n v="3"/>
    <n v="10000"/>
    <n v="0"/>
    <n v="30000"/>
    <n v="22069.7"/>
    <n v="7930.3"/>
    <s v="Net Banking"/>
    <d v="2025-10-09T00:00:00"/>
  </r>
  <r>
    <s v="ORD00027"/>
    <x v="26"/>
    <x v="3"/>
    <s v="Karnataka"/>
    <x v="4"/>
    <s v="Vision Corp"/>
    <s v="Accessories"/>
    <s v="Headset"/>
    <n v="9"/>
    <n v="2500"/>
    <n v="15"/>
    <n v="19125"/>
    <n v="16167.01"/>
    <n v="2957.99"/>
    <s v="UPI"/>
    <d v="2025-06-30T00:00:00"/>
  </r>
  <r>
    <s v="ORD00028"/>
    <x v="27"/>
    <x v="3"/>
    <s v="Karnataka"/>
    <x v="3"/>
    <s v="Tech Solutions"/>
    <s v="Furniture"/>
    <s v="Office Chair"/>
    <n v="3"/>
    <n v="6000"/>
    <n v="5"/>
    <n v="17100"/>
    <n v="14521.38"/>
    <n v="2578.62"/>
    <s v="UPI"/>
    <d v="2025-02-24T00:00:00"/>
  </r>
  <r>
    <s v="ORD00029"/>
    <x v="28"/>
    <x v="1"/>
    <s v="Delhi"/>
    <x v="5"/>
    <s v="Tech Solutions"/>
    <s v="Accessories"/>
    <s v="USB Drive"/>
    <n v="8"/>
    <n v="900"/>
    <n v="15"/>
    <n v="6120"/>
    <n v="5361"/>
    <n v="759"/>
    <s v="UPI"/>
    <d v="2025-09-17T00:00:00"/>
  </r>
  <r>
    <s v="ORD00030"/>
    <x v="29"/>
    <x v="3"/>
    <s v="Telangana"/>
    <x v="1"/>
    <s v="XYZ Ltd"/>
    <s v="Accessories"/>
    <s v="Mouse"/>
    <n v="9"/>
    <n v="800"/>
    <n v="5"/>
    <n v="6840"/>
    <n v="5865.62"/>
    <n v="974.38"/>
    <s v="UPI"/>
    <d v="2025-05-04T00:00:00"/>
  </r>
  <r>
    <s v="ORD00031"/>
    <x v="30"/>
    <x v="0"/>
    <s v="Gujarat"/>
    <x v="4"/>
    <s v="Prime Stores"/>
    <s v="Accessories"/>
    <s v="Mouse"/>
    <n v="3"/>
    <n v="800"/>
    <n v="10"/>
    <n v="2160"/>
    <n v="1926.94"/>
    <n v="233.06"/>
    <s v="UPI"/>
    <d v="2025-02-14T00:00:00"/>
  </r>
  <r>
    <s v="ORD00032"/>
    <x v="31"/>
    <x v="0"/>
    <s v="Gujarat"/>
    <x v="1"/>
    <s v="Global Mart"/>
    <s v="Furniture"/>
    <s v="Desk"/>
    <n v="4"/>
    <n v="10000"/>
    <n v="15"/>
    <n v="34000"/>
    <n v="24174.68"/>
    <n v="9825.32"/>
    <s v="UPI"/>
    <d v="2025-01-20T00:00:00"/>
  </r>
  <r>
    <s v="ORD00033"/>
    <x v="32"/>
    <x v="2"/>
    <s v="West Bengal"/>
    <x v="2"/>
    <s v="Prime Stores"/>
    <s v="Furniture"/>
    <s v="Desk"/>
    <n v="5"/>
    <n v="10000"/>
    <n v="10"/>
    <n v="45000"/>
    <n v="40444.199999999997"/>
    <n v="4555.8"/>
    <s v="Net Banking"/>
    <d v="2025-08-31T00:00:00"/>
  </r>
  <r>
    <s v="ORD00034"/>
    <x v="33"/>
    <x v="2"/>
    <s v="West Bengal"/>
    <x v="3"/>
    <s v="Vision Corp"/>
    <s v="Furniture"/>
    <s v="Office Chair"/>
    <n v="1"/>
    <n v="6000"/>
    <n v="5"/>
    <n v="5700"/>
    <n v="4186.0200000000004"/>
    <n v="1513.98"/>
    <s v="Cash"/>
    <d v="2025-07-14T00:00:00"/>
  </r>
  <r>
    <s v="ORD00035"/>
    <x v="34"/>
    <x v="1"/>
    <s v="Haryana"/>
    <x v="2"/>
    <s v="XYZ Ltd"/>
    <s v="Furniture"/>
    <s v="Desk"/>
    <n v="5"/>
    <n v="10000"/>
    <n v="15"/>
    <n v="42500"/>
    <n v="35700.97"/>
    <n v="6799.03"/>
    <s v="Cash"/>
    <d v="2025-08-27T00:00:00"/>
  </r>
  <r>
    <s v="ORD00036"/>
    <x v="35"/>
    <x v="1"/>
    <s v="Haryana"/>
    <x v="3"/>
    <s v="Vision Corp"/>
    <s v="Electronics"/>
    <s v="Laptop"/>
    <n v="5"/>
    <n v="55000"/>
    <n v="0"/>
    <n v="275000"/>
    <n v="202237.09"/>
    <n v="72762.91"/>
    <s v="UPI"/>
    <d v="2025-02-27T00:00:00"/>
  </r>
  <r>
    <s v="ORD00037"/>
    <x v="36"/>
    <x v="1"/>
    <s v="Punjab"/>
    <x v="3"/>
    <s v="Vision Corp"/>
    <s v="Furniture"/>
    <s v="Office Chair"/>
    <n v="8"/>
    <n v="6000"/>
    <n v="5"/>
    <n v="45600"/>
    <n v="38425.82"/>
    <n v="7174.18"/>
    <s v="Card"/>
    <d v="2025-02-25T00:00:00"/>
  </r>
  <r>
    <s v="ORD00038"/>
    <x v="37"/>
    <x v="3"/>
    <s v="Tamil Nadu"/>
    <x v="1"/>
    <s v="Tech Solutions"/>
    <s v="Electronics"/>
    <s v="Keyboard"/>
    <n v="8"/>
    <n v="1500"/>
    <n v="0"/>
    <n v="12000"/>
    <n v="10604.15"/>
    <n v="1395.85"/>
    <s v="Net Banking"/>
    <d v="2025-04-18T00:00:00"/>
  </r>
  <r>
    <s v="ORD00039"/>
    <x v="38"/>
    <x v="1"/>
    <s v="Punjab"/>
    <x v="5"/>
    <s v="Global Mart"/>
    <s v="Furniture"/>
    <s v="Office Chair"/>
    <n v="5"/>
    <n v="6000"/>
    <n v="5"/>
    <n v="28500"/>
    <n v="21367.91"/>
    <n v="7132.09"/>
    <s v="Cash"/>
    <d v="2025-06-08T00:00:00"/>
  </r>
  <r>
    <s v="ORD00040"/>
    <x v="39"/>
    <x v="2"/>
    <s v="Odisha"/>
    <x v="1"/>
    <s v="Prime Stores"/>
    <s v="Accessories"/>
    <s v="Headset"/>
    <n v="9"/>
    <n v="2500"/>
    <n v="15"/>
    <n v="19125"/>
    <n v="13312.65"/>
    <n v="5812.35"/>
    <s v="Net Banking"/>
    <d v="2025-10-29T00:00:00"/>
  </r>
  <r>
    <s v="ORD00041"/>
    <x v="40"/>
    <x v="0"/>
    <s v="Maharashtra"/>
    <x v="3"/>
    <s v="Global Mart"/>
    <s v="Accessories"/>
    <s v="Mouse"/>
    <n v="6"/>
    <n v="800"/>
    <n v="15"/>
    <n v="4080"/>
    <n v="3485.64"/>
    <n v="594.36"/>
    <s v="Cash"/>
    <d v="2025-12-31T00:00:00"/>
  </r>
  <r>
    <s v="ORD00042"/>
    <x v="41"/>
    <x v="3"/>
    <s v="Telangana"/>
    <x v="4"/>
    <s v="Prime Stores"/>
    <s v="Electronics"/>
    <s v="Keyboard"/>
    <n v="4"/>
    <n v="1500"/>
    <n v="0"/>
    <n v="6000"/>
    <n v="4109.12"/>
    <n v="1890.88"/>
    <s v="Cash"/>
    <d v="2025-06-17T00:00:00"/>
  </r>
  <r>
    <s v="ORD00043"/>
    <x v="42"/>
    <x v="2"/>
    <s v="Odisha"/>
    <x v="0"/>
    <s v="XYZ Ltd"/>
    <s v="Accessories"/>
    <s v="Headset"/>
    <n v="5"/>
    <n v="2500"/>
    <n v="0"/>
    <n v="12500"/>
    <n v="8506.19"/>
    <n v="3993.81"/>
    <s v="Net Banking"/>
    <d v="2025-04-11T00:00:00"/>
  </r>
  <r>
    <s v="ORD00044"/>
    <x v="43"/>
    <x v="0"/>
    <s v="Maharashtra"/>
    <x v="2"/>
    <s v="Tech Solutions"/>
    <s v="Accessories"/>
    <s v="USB Drive"/>
    <n v="1"/>
    <n v="900"/>
    <n v="10"/>
    <n v="810"/>
    <n v="688.82"/>
    <n v="121.18"/>
    <s v="Cash"/>
    <d v="2025-03-20T00:00:00"/>
  </r>
  <r>
    <s v="ORD00045"/>
    <x v="44"/>
    <x v="3"/>
    <s v="Tamil Nadu"/>
    <x v="2"/>
    <s v="Prime Stores"/>
    <s v="Electronics"/>
    <s v="Monitor"/>
    <n v="1"/>
    <n v="12000"/>
    <n v="0"/>
    <n v="12000"/>
    <n v="9250.42"/>
    <n v="2749.58"/>
    <s v="Card"/>
    <d v="2025-04-28T00:00:00"/>
  </r>
  <r>
    <s v="ORD00046"/>
    <x v="45"/>
    <x v="3"/>
    <s v="Telangana"/>
    <x v="0"/>
    <s v="ABC Pvt Ltd"/>
    <s v="Furniture"/>
    <s v="Office Chair"/>
    <n v="5"/>
    <n v="6000"/>
    <n v="10"/>
    <n v="27000"/>
    <n v="24032.240000000002"/>
    <n v="2967.76"/>
    <s v="Cash"/>
    <d v="2025-11-16T00:00:00"/>
  </r>
  <r>
    <s v="ORD00047"/>
    <x v="46"/>
    <x v="2"/>
    <s v="Odisha"/>
    <x v="1"/>
    <s v="Prime Stores"/>
    <s v="Furniture"/>
    <s v="Office Chair"/>
    <n v="10"/>
    <n v="6000"/>
    <n v="10"/>
    <n v="54000"/>
    <n v="38767.89"/>
    <n v="15232.11"/>
    <s v="Cash"/>
    <d v="2025-06-25T00:00:00"/>
  </r>
  <r>
    <s v="ORD00048"/>
    <x v="47"/>
    <x v="2"/>
    <s v="West Bengal"/>
    <x v="1"/>
    <s v="XYZ Ltd"/>
    <s v="Accessories"/>
    <s v="Mouse"/>
    <n v="1"/>
    <n v="800"/>
    <n v="0"/>
    <n v="800"/>
    <n v="605.70000000000005"/>
    <n v="194.3"/>
    <s v="Net Banking"/>
    <d v="2025-11-01T00:00:00"/>
  </r>
  <r>
    <s v="ORD00049"/>
    <x v="48"/>
    <x v="0"/>
    <s v="Maharashtra"/>
    <x v="4"/>
    <s v="XYZ Ltd"/>
    <s v="Electronics"/>
    <s v="Laptop"/>
    <n v="3"/>
    <n v="55000"/>
    <n v="10"/>
    <n v="148500"/>
    <n v="132078.79"/>
    <n v="16421.21"/>
    <s v="Net Banking"/>
    <d v="2025-02-04T00:00:00"/>
  </r>
  <r>
    <s v="ORD00050"/>
    <x v="49"/>
    <x v="2"/>
    <s v="Odisha"/>
    <x v="3"/>
    <s v="XYZ Ltd"/>
    <s v="Accessories"/>
    <s v="USB Drive"/>
    <n v="1"/>
    <n v="900"/>
    <n v="0"/>
    <n v="900"/>
    <n v="608.16999999999996"/>
    <n v="291.83"/>
    <s v="Cash"/>
    <d v="2025-04-19T00:00:00"/>
  </r>
  <r>
    <s v="ORD00051"/>
    <x v="50"/>
    <x v="3"/>
    <s v="Telangana"/>
    <x v="4"/>
    <s v="ABC Pvt Ltd"/>
    <s v="Electronics"/>
    <s v="Laptop"/>
    <n v="9"/>
    <n v="55000"/>
    <n v="15"/>
    <n v="420750"/>
    <n v="289397.28999999998"/>
    <n v="131352.71"/>
    <s v="Card"/>
    <d v="2025-08-16T00:00:00"/>
  </r>
  <r>
    <s v="ORD00052"/>
    <x v="51"/>
    <x v="0"/>
    <s v="Gujarat"/>
    <x v="3"/>
    <s v="ABC Pvt Ltd"/>
    <s v="Electronics"/>
    <s v="Laptop"/>
    <n v="7"/>
    <n v="55000"/>
    <n v="15"/>
    <n v="327250"/>
    <n v="218378.3"/>
    <n v="108871.7"/>
    <s v="UPI"/>
    <d v="2025-03-17T00:00:00"/>
  </r>
  <r>
    <s v="ORD00053"/>
    <x v="52"/>
    <x v="2"/>
    <s v="Odisha"/>
    <x v="3"/>
    <s v="Prime Stores"/>
    <s v="Accessories"/>
    <s v="USB Drive"/>
    <n v="8"/>
    <n v="900"/>
    <n v="10"/>
    <n v="6480"/>
    <n v="5538.92"/>
    <n v="941.08"/>
    <s v="Card"/>
    <d v="2025-12-04T00:00:00"/>
  </r>
  <r>
    <s v="ORD00054"/>
    <x v="53"/>
    <x v="1"/>
    <s v="Punjab"/>
    <x v="1"/>
    <s v="XYZ Ltd"/>
    <s v="Furniture"/>
    <s v="Office Chair"/>
    <n v="3"/>
    <n v="6000"/>
    <n v="15"/>
    <n v="15300"/>
    <n v="10523.36"/>
    <n v="4776.6400000000003"/>
    <s v="Card"/>
    <d v="2025-06-28T00:00:00"/>
  </r>
  <r>
    <s v="ORD00055"/>
    <x v="54"/>
    <x v="3"/>
    <s v="Telangana"/>
    <x v="2"/>
    <s v="Tech Solutions"/>
    <s v="Furniture"/>
    <s v="Office Chair"/>
    <n v="7"/>
    <n v="6000"/>
    <n v="0"/>
    <n v="42000"/>
    <n v="33942.370000000003"/>
    <n v="8057.63"/>
    <s v="Cash"/>
    <d v="2025-09-14T00:00:00"/>
  </r>
  <r>
    <s v="ORD00056"/>
    <x v="55"/>
    <x v="0"/>
    <s v="Gujarat"/>
    <x v="3"/>
    <s v="XYZ Ltd"/>
    <s v="Accessories"/>
    <s v="Mouse"/>
    <n v="1"/>
    <n v="800"/>
    <n v="10"/>
    <n v="720"/>
    <n v="549.79999999999995"/>
    <n v="170.2"/>
    <s v="Cash"/>
    <d v="2025-02-17T00:00:00"/>
  </r>
  <r>
    <s v="ORD00057"/>
    <x v="56"/>
    <x v="3"/>
    <s v="Telangana"/>
    <x v="2"/>
    <s v="Tech Solutions"/>
    <s v="Electronics"/>
    <s v="Monitor"/>
    <n v="9"/>
    <n v="12000"/>
    <n v="15"/>
    <n v="91800"/>
    <n v="77716.160000000003"/>
    <n v="14083.84"/>
    <s v="UPI"/>
    <d v="2025-12-26T00:00:00"/>
  </r>
  <r>
    <s v="ORD00058"/>
    <x v="57"/>
    <x v="2"/>
    <s v="West Bengal"/>
    <x v="0"/>
    <s v="Tech Solutions"/>
    <s v="Furniture"/>
    <s v="Desk"/>
    <n v="7"/>
    <n v="10000"/>
    <n v="15"/>
    <n v="59500"/>
    <n v="49229.39"/>
    <n v="10270.61"/>
    <s v="UPI"/>
    <d v="2025-09-28T00:00:00"/>
  </r>
  <r>
    <s v="ORD00059"/>
    <x v="58"/>
    <x v="3"/>
    <s v="Tamil Nadu"/>
    <x v="3"/>
    <s v="Tech Solutions"/>
    <s v="Electronics"/>
    <s v="Monitor"/>
    <n v="6"/>
    <n v="12000"/>
    <n v="10"/>
    <n v="64800"/>
    <n v="50305.39"/>
    <n v="14494.61"/>
    <s v="Cash"/>
    <d v="2025-03-12T00:00:00"/>
  </r>
  <r>
    <s v="ORD00060"/>
    <x v="59"/>
    <x v="3"/>
    <s v="Telangana"/>
    <x v="5"/>
    <s v="Global Mart"/>
    <s v="Electronics"/>
    <s v="Keyboard"/>
    <n v="2"/>
    <n v="1500"/>
    <n v="5"/>
    <n v="2850"/>
    <n v="2053.9699999999998"/>
    <n v="796.03"/>
    <s v="UPI"/>
    <d v="2025-02-08T00:00:00"/>
  </r>
  <r>
    <s v="ORD00061"/>
    <x v="60"/>
    <x v="1"/>
    <s v="Punjab"/>
    <x v="4"/>
    <s v="Prime Stores"/>
    <s v="Accessories"/>
    <s v="Mouse"/>
    <n v="8"/>
    <n v="800"/>
    <n v="0"/>
    <n v="6400"/>
    <n v="4756.0600000000004"/>
    <n v="1643.94"/>
    <s v="Card"/>
    <d v="2025-07-23T00:00:00"/>
  </r>
  <r>
    <s v="ORD00062"/>
    <x v="61"/>
    <x v="1"/>
    <s v="Haryana"/>
    <x v="2"/>
    <s v="XYZ Ltd"/>
    <s v="Electronics"/>
    <s v="Keyboard"/>
    <n v="7"/>
    <n v="1500"/>
    <n v="5"/>
    <n v="9975"/>
    <n v="8372.33"/>
    <n v="1602.67"/>
    <s v="Cash"/>
    <d v="2025-06-19T00:00:00"/>
  </r>
  <r>
    <s v="ORD00063"/>
    <x v="32"/>
    <x v="1"/>
    <s v="Haryana"/>
    <x v="5"/>
    <s v="XYZ Ltd"/>
    <s v="Electronics"/>
    <s v="Monitor"/>
    <n v="10"/>
    <n v="12000"/>
    <n v="10"/>
    <n v="108000"/>
    <n v="75108.070000000007"/>
    <n v="32891.93"/>
    <s v="Card"/>
    <d v="2025-08-31T00:00:00"/>
  </r>
  <r>
    <s v="ORD00064"/>
    <x v="62"/>
    <x v="1"/>
    <s v="Haryana"/>
    <x v="5"/>
    <s v="Vision Corp"/>
    <s v="Electronics"/>
    <s v="Monitor"/>
    <n v="1"/>
    <n v="12000"/>
    <n v="10"/>
    <n v="10800"/>
    <n v="9552.3799999999992"/>
    <n v="1247.6199999999999"/>
    <s v="UPI"/>
    <d v="2025-08-08T00:00:00"/>
  </r>
  <r>
    <s v="ORD00065"/>
    <x v="63"/>
    <x v="2"/>
    <s v="Odisha"/>
    <x v="0"/>
    <s v="Global Mart"/>
    <s v="Furniture"/>
    <s v="Desk"/>
    <n v="9"/>
    <n v="10000"/>
    <n v="10"/>
    <n v="81000"/>
    <n v="70590.929999999993"/>
    <n v="10409.07"/>
    <s v="Card"/>
    <d v="2025-09-03T00:00:00"/>
  </r>
  <r>
    <s v="ORD00066"/>
    <x v="64"/>
    <x v="2"/>
    <s v="West Bengal"/>
    <x v="5"/>
    <s v="Vision Corp"/>
    <s v="Furniture"/>
    <s v="Desk"/>
    <n v="4"/>
    <n v="10000"/>
    <n v="10"/>
    <n v="36000"/>
    <n v="29742.18"/>
    <n v="6257.82"/>
    <s v="Card"/>
    <d v="2025-12-30T00:00:00"/>
  </r>
  <r>
    <s v="ORD00067"/>
    <x v="30"/>
    <x v="1"/>
    <s v="Haryana"/>
    <x v="4"/>
    <s v="Tech Solutions"/>
    <s v="Accessories"/>
    <s v="Mouse"/>
    <n v="2"/>
    <n v="800"/>
    <n v="0"/>
    <n v="1600"/>
    <n v="1342.38"/>
    <n v="257.62"/>
    <s v="Card"/>
    <d v="2025-02-14T00:00:00"/>
  </r>
  <r>
    <s v="ORD00068"/>
    <x v="65"/>
    <x v="3"/>
    <s v="Telangana"/>
    <x v="1"/>
    <s v="ABC Pvt Ltd"/>
    <s v="Electronics"/>
    <s v="Laptop"/>
    <n v="8"/>
    <n v="55000"/>
    <n v="15"/>
    <n v="374000"/>
    <n v="273945.23"/>
    <n v="100054.77"/>
    <s v="Cash"/>
    <d v="2025-11-21T00:00:00"/>
  </r>
  <r>
    <s v="ORD00069"/>
    <x v="66"/>
    <x v="3"/>
    <s v="Telangana"/>
    <x v="4"/>
    <s v="Prime Stores"/>
    <s v="Accessories"/>
    <s v="Headset"/>
    <n v="3"/>
    <n v="2500"/>
    <n v="5"/>
    <n v="7125"/>
    <n v="5216.0600000000004"/>
    <n v="1908.94"/>
    <s v="Cash"/>
    <d v="2025-10-18T00:00:00"/>
  </r>
  <r>
    <s v="ORD00070"/>
    <x v="67"/>
    <x v="0"/>
    <s v="Gujarat"/>
    <x v="5"/>
    <s v="XYZ Ltd"/>
    <s v="Accessories"/>
    <s v="Headset"/>
    <n v="7"/>
    <n v="2500"/>
    <n v="5"/>
    <n v="16625"/>
    <n v="13257.89"/>
    <n v="3367.11"/>
    <s v="UPI"/>
    <d v="2025-08-11T00:00:00"/>
  </r>
  <r>
    <s v="ORD00071"/>
    <x v="68"/>
    <x v="2"/>
    <s v="Odisha"/>
    <x v="3"/>
    <s v="Global Mart"/>
    <s v="Accessories"/>
    <s v="Headset"/>
    <n v="6"/>
    <n v="2500"/>
    <n v="15"/>
    <n v="12750"/>
    <n v="10386.77"/>
    <n v="2363.23"/>
    <s v="Card"/>
    <d v="2025-05-02T00:00:00"/>
  </r>
  <r>
    <s v="ORD00072"/>
    <x v="69"/>
    <x v="2"/>
    <s v="West Bengal"/>
    <x v="2"/>
    <s v="Vision Corp"/>
    <s v="Furniture"/>
    <s v="Office Chair"/>
    <n v="7"/>
    <n v="6000"/>
    <n v="10"/>
    <n v="37800"/>
    <n v="28779.25"/>
    <n v="9020.75"/>
    <s v="Net Banking"/>
    <d v="2025-04-02T00:00:00"/>
  </r>
  <r>
    <s v="ORD00073"/>
    <x v="70"/>
    <x v="3"/>
    <s v="Telangana"/>
    <x v="3"/>
    <s v="XYZ Ltd"/>
    <s v="Accessories"/>
    <s v="USB Drive"/>
    <n v="1"/>
    <n v="900"/>
    <n v="15"/>
    <n v="765"/>
    <n v="576.65"/>
    <n v="188.35"/>
    <s v="Card"/>
    <d v="2025-05-24T00:00:00"/>
  </r>
  <r>
    <s v="ORD00074"/>
    <x v="71"/>
    <x v="1"/>
    <s v="Haryana"/>
    <x v="3"/>
    <s v="Global Mart"/>
    <s v="Accessories"/>
    <s v="Mouse"/>
    <n v="3"/>
    <n v="800"/>
    <n v="10"/>
    <n v="2160"/>
    <n v="1429.49"/>
    <n v="730.51"/>
    <s v="Card"/>
    <d v="2025-05-19T00:00:00"/>
  </r>
  <r>
    <s v="ORD00075"/>
    <x v="72"/>
    <x v="0"/>
    <s v="Gujarat"/>
    <x v="3"/>
    <s v="XYZ Ltd"/>
    <s v="Furniture"/>
    <s v="Office Chair"/>
    <n v="2"/>
    <n v="6000"/>
    <n v="5"/>
    <n v="11400"/>
    <n v="8722.81"/>
    <n v="2677.19"/>
    <s v="Card"/>
    <d v="2025-08-14T00:00:00"/>
  </r>
  <r>
    <s v="ORD00076"/>
    <x v="73"/>
    <x v="3"/>
    <s v="Tamil Nadu"/>
    <x v="3"/>
    <s v="Prime Stores"/>
    <s v="Furniture"/>
    <s v="Office Chair"/>
    <n v="10"/>
    <n v="6000"/>
    <n v="10"/>
    <n v="54000"/>
    <n v="45835.76"/>
    <n v="8164.24"/>
    <s v="UPI"/>
    <d v="2025-03-15T00:00:00"/>
  </r>
  <r>
    <s v="ORD00077"/>
    <x v="74"/>
    <x v="2"/>
    <s v="West Bengal"/>
    <x v="1"/>
    <s v="ABC Pvt Ltd"/>
    <s v="Accessories"/>
    <s v="USB Drive"/>
    <n v="1"/>
    <n v="900"/>
    <n v="10"/>
    <n v="810"/>
    <n v="540.62"/>
    <n v="269.38"/>
    <s v="Cash"/>
    <d v="2025-03-08T00:00:00"/>
  </r>
  <r>
    <s v="ORD00078"/>
    <x v="75"/>
    <x v="2"/>
    <s v="Odisha"/>
    <x v="4"/>
    <s v="Prime Stores"/>
    <s v="Accessories"/>
    <s v="Headset"/>
    <n v="4"/>
    <n v="2500"/>
    <n v="0"/>
    <n v="10000"/>
    <n v="7638.51"/>
    <n v="2361.4899999999998"/>
    <s v="Cash"/>
    <d v="2025-02-01T00:00:00"/>
  </r>
  <r>
    <s v="ORD00079"/>
    <x v="76"/>
    <x v="0"/>
    <s v="Gujarat"/>
    <x v="0"/>
    <s v="Global Mart"/>
    <s v="Accessories"/>
    <s v="Headset"/>
    <n v="8"/>
    <n v="2500"/>
    <n v="15"/>
    <n v="17000"/>
    <n v="13462.75"/>
    <n v="3537.25"/>
    <s v="Net Banking"/>
    <d v="2025-09-10T00:00:00"/>
  </r>
  <r>
    <s v="ORD00080"/>
    <x v="77"/>
    <x v="2"/>
    <s v="West Bengal"/>
    <x v="0"/>
    <s v="XYZ Ltd"/>
    <s v="Electronics"/>
    <s v="Keyboard"/>
    <n v="8"/>
    <n v="1500"/>
    <n v="10"/>
    <n v="10800"/>
    <n v="8889.4599999999991"/>
    <n v="1910.54"/>
    <s v="Card"/>
    <d v="2025-10-14T00:00:00"/>
  </r>
  <r>
    <s v="ORD00081"/>
    <x v="78"/>
    <x v="2"/>
    <s v="Odisha"/>
    <x v="0"/>
    <s v="Global Mart"/>
    <s v="Accessories"/>
    <s v="Headset"/>
    <n v="3"/>
    <n v="2500"/>
    <n v="0"/>
    <n v="7500"/>
    <n v="6667.48"/>
    <n v="832.52"/>
    <s v="Cash"/>
    <d v="2025-04-13T00:00:00"/>
  </r>
  <r>
    <s v="ORD00082"/>
    <x v="55"/>
    <x v="1"/>
    <s v="Delhi"/>
    <x v="2"/>
    <s v="Global Mart"/>
    <s v="Electronics"/>
    <s v="Monitor"/>
    <n v="8"/>
    <n v="12000"/>
    <n v="15"/>
    <n v="81600"/>
    <n v="59881.17"/>
    <n v="21718.83"/>
    <s v="Cash"/>
    <d v="2025-02-17T00:00:00"/>
  </r>
  <r>
    <s v="ORD00083"/>
    <x v="42"/>
    <x v="0"/>
    <s v="Gujarat"/>
    <x v="3"/>
    <s v="ABC Pvt Ltd"/>
    <s v="Accessories"/>
    <s v="Mouse"/>
    <n v="1"/>
    <n v="800"/>
    <n v="5"/>
    <n v="760"/>
    <n v="663.01"/>
    <n v="96.99"/>
    <s v="UPI"/>
    <d v="2025-04-11T00:00:00"/>
  </r>
  <r>
    <s v="ORD00084"/>
    <x v="79"/>
    <x v="2"/>
    <s v="West Bengal"/>
    <x v="4"/>
    <s v="Vision Corp"/>
    <s v="Furniture"/>
    <s v="Office Chair"/>
    <n v="9"/>
    <n v="6000"/>
    <n v="15"/>
    <n v="45900"/>
    <n v="40387.18"/>
    <n v="5512.82"/>
    <s v="UPI"/>
    <d v="2025-12-21T00:00:00"/>
  </r>
  <r>
    <s v="ORD00085"/>
    <x v="71"/>
    <x v="1"/>
    <s v="Haryana"/>
    <x v="2"/>
    <s v="Global Mart"/>
    <s v="Accessories"/>
    <s v="USB Drive"/>
    <n v="6"/>
    <n v="900"/>
    <n v="0"/>
    <n v="5400"/>
    <n v="4172.84"/>
    <n v="1227.1600000000001"/>
    <s v="Net Banking"/>
    <d v="2025-05-19T00:00:00"/>
  </r>
  <r>
    <s v="ORD00086"/>
    <x v="80"/>
    <x v="1"/>
    <s v="Punjab"/>
    <x v="4"/>
    <s v="ABC Pvt Ltd"/>
    <s v="Furniture"/>
    <s v="Office Chair"/>
    <n v="1"/>
    <n v="6000"/>
    <n v="0"/>
    <n v="6000"/>
    <n v="4256.58"/>
    <n v="1743.42"/>
    <s v="Cash"/>
    <d v="2025-07-24T00:00:00"/>
  </r>
  <r>
    <s v="ORD00087"/>
    <x v="81"/>
    <x v="0"/>
    <s v="Gujarat"/>
    <x v="0"/>
    <s v="Tech Solutions"/>
    <s v="Electronics"/>
    <s v="Laptop"/>
    <n v="1"/>
    <n v="55000"/>
    <n v="0"/>
    <n v="55000"/>
    <n v="42501.93"/>
    <n v="12498.07"/>
    <s v="Cash"/>
    <d v="2025-06-26T00:00:00"/>
  </r>
  <r>
    <s v="ORD00088"/>
    <x v="82"/>
    <x v="3"/>
    <s v="Telangana"/>
    <x v="5"/>
    <s v="ABC Pvt Ltd"/>
    <s v="Electronics"/>
    <s v="Laptop"/>
    <n v="6"/>
    <n v="55000"/>
    <n v="10"/>
    <n v="297000"/>
    <n v="250056.82"/>
    <n v="46943.18"/>
    <s v="Card"/>
    <d v="2025-03-01T00:00:00"/>
  </r>
  <r>
    <s v="ORD00089"/>
    <x v="83"/>
    <x v="3"/>
    <s v="Tamil Nadu"/>
    <x v="2"/>
    <s v="ABC Pvt Ltd"/>
    <s v="Furniture"/>
    <s v="Office Chair"/>
    <n v="2"/>
    <n v="6000"/>
    <n v="5"/>
    <n v="11400"/>
    <n v="9164.64"/>
    <n v="2235.36"/>
    <s v="Net Banking"/>
    <d v="2025-10-28T00:00:00"/>
  </r>
  <r>
    <s v="ORD00090"/>
    <x v="84"/>
    <x v="3"/>
    <s v="Karnataka"/>
    <x v="1"/>
    <s v="Tech Solutions"/>
    <s v="Accessories"/>
    <s v="USB Drive"/>
    <n v="2"/>
    <n v="900"/>
    <n v="15"/>
    <n v="1530"/>
    <n v="1306.69"/>
    <n v="223.31"/>
    <s v="Cash"/>
    <d v="2025-10-27T00:00:00"/>
  </r>
  <r>
    <s v="ORD00091"/>
    <x v="85"/>
    <x v="2"/>
    <s v="West Bengal"/>
    <x v="0"/>
    <s v="Global Mart"/>
    <s v="Electronics"/>
    <s v="Laptop"/>
    <n v="6"/>
    <n v="55000"/>
    <n v="15"/>
    <n v="280500"/>
    <n v="197421.42"/>
    <n v="83078.58"/>
    <s v="Cash"/>
    <d v="2025-11-14T00:00:00"/>
  </r>
  <r>
    <s v="ORD00092"/>
    <x v="26"/>
    <x v="0"/>
    <s v="Maharashtra"/>
    <x v="4"/>
    <s v="ABC Pvt Ltd"/>
    <s v="Electronics"/>
    <s v="Laptop"/>
    <n v="8"/>
    <n v="55000"/>
    <n v="10"/>
    <n v="396000"/>
    <n v="270806.62"/>
    <n v="125193.38"/>
    <s v="UPI"/>
    <d v="2025-06-30T00:00:00"/>
  </r>
  <r>
    <s v="ORD00093"/>
    <x v="86"/>
    <x v="3"/>
    <s v="Karnataka"/>
    <x v="1"/>
    <s v="Tech Solutions"/>
    <s v="Accessories"/>
    <s v="Headset"/>
    <n v="3"/>
    <n v="2500"/>
    <n v="15"/>
    <n v="6375"/>
    <n v="5469.06"/>
    <n v="905.94"/>
    <s v="Card"/>
    <d v="2025-12-10T00:00:00"/>
  </r>
  <r>
    <s v="ORD00094"/>
    <x v="87"/>
    <x v="2"/>
    <s v="West Bengal"/>
    <x v="0"/>
    <s v="XYZ Ltd"/>
    <s v="Furniture"/>
    <s v="Desk"/>
    <n v="3"/>
    <n v="10000"/>
    <n v="5"/>
    <n v="28500"/>
    <n v="25246.33"/>
    <n v="3253.67"/>
    <s v="Cash"/>
    <d v="2025-03-19T00:00:00"/>
  </r>
  <r>
    <s v="ORD00095"/>
    <x v="36"/>
    <x v="3"/>
    <s v="Karnataka"/>
    <x v="3"/>
    <s v="ABC Pvt Ltd"/>
    <s v="Accessories"/>
    <s v="USB Drive"/>
    <n v="5"/>
    <n v="900"/>
    <n v="5"/>
    <n v="4275"/>
    <n v="3114.5"/>
    <n v="1160.5"/>
    <s v="Card"/>
    <d v="2025-02-25T00:00:00"/>
  </r>
  <r>
    <s v="ORD00096"/>
    <x v="4"/>
    <x v="1"/>
    <s v="Punjab"/>
    <x v="1"/>
    <s v="ABC Pvt Ltd"/>
    <s v="Accessories"/>
    <s v="Headset"/>
    <n v="4"/>
    <n v="2500"/>
    <n v="0"/>
    <n v="10000"/>
    <n v="8592.41"/>
    <n v="1407.59"/>
    <s v="Net Banking"/>
    <d v="2025-01-31T00:00:00"/>
  </r>
  <r>
    <s v="ORD00097"/>
    <x v="88"/>
    <x v="3"/>
    <s v="Tamil Nadu"/>
    <x v="1"/>
    <s v="ABC Pvt Ltd"/>
    <s v="Electronics"/>
    <s v="Keyboard"/>
    <n v="3"/>
    <n v="1500"/>
    <n v="15"/>
    <n v="3825"/>
    <n v="2931.65"/>
    <n v="893.35"/>
    <s v="Card"/>
    <d v="2025-02-12T00:00:00"/>
  </r>
  <r>
    <s v="ORD00098"/>
    <x v="89"/>
    <x v="2"/>
    <s v="Odisha"/>
    <x v="4"/>
    <s v="Global Mart"/>
    <s v="Furniture"/>
    <s v="Desk"/>
    <n v="9"/>
    <n v="10000"/>
    <n v="15"/>
    <n v="76500"/>
    <n v="51668.23"/>
    <n v="24831.77"/>
    <s v="UPI"/>
    <d v="2025-07-02T00:00:00"/>
  </r>
  <r>
    <s v="ORD00099"/>
    <x v="15"/>
    <x v="1"/>
    <s v="Haryana"/>
    <x v="3"/>
    <s v="ABC Pvt Ltd"/>
    <s v="Furniture"/>
    <s v="Desk"/>
    <n v="8"/>
    <n v="10000"/>
    <n v="15"/>
    <n v="68000"/>
    <n v="47136.94"/>
    <n v="20863.060000000001"/>
    <s v="Net Banking"/>
    <d v="2025-07-03T00:00:00"/>
  </r>
  <r>
    <s v="ORD00100"/>
    <x v="90"/>
    <x v="3"/>
    <s v="Telangana"/>
    <x v="3"/>
    <s v="Prime Stores"/>
    <s v="Accessories"/>
    <s v="USB Drive"/>
    <n v="3"/>
    <n v="900"/>
    <n v="5"/>
    <n v="2565"/>
    <n v="1856.39"/>
    <n v="708.61"/>
    <s v="Net Banking"/>
    <d v="2025-03-24T00:00:00"/>
  </r>
  <r>
    <s v="ORD00101"/>
    <x v="19"/>
    <x v="1"/>
    <s v="Punjab"/>
    <x v="3"/>
    <s v="Vision Corp"/>
    <s v="Electronics"/>
    <s v="Keyboard"/>
    <n v="5"/>
    <n v="1500"/>
    <n v="0"/>
    <n v="7500"/>
    <n v="5742.66"/>
    <n v="1757.34"/>
    <s v="Cash"/>
    <d v="2025-08-02T00:00:00"/>
  </r>
  <r>
    <s v="ORD00102"/>
    <x v="91"/>
    <x v="2"/>
    <s v="Odisha"/>
    <x v="0"/>
    <s v="Tech Solutions"/>
    <s v="Furniture"/>
    <s v="Office Chair"/>
    <n v="10"/>
    <n v="6000"/>
    <n v="0"/>
    <n v="60000"/>
    <n v="43483.38"/>
    <n v="16516.62"/>
    <s v="Card"/>
    <d v="2025-04-09T00:00:00"/>
  </r>
  <r>
    <s v="ORD00103"/>
    <x v="92"/>
    <x v="0"/>
    <s v="Gujarat"/>
    <x v="5"/>
    <s v="Vision Corp"/>
    <s v="Electronics"/>
    <s v="Keyboard"/>
    <n v="6"/>
    <n v="1500"/>
    <n v="5"/>
    <n v="8550"/>
    <n v="7307.57"/>
    <n v="1242.43"/>
    <s v="Cash"/>
    <d v="2025-05-14T00:00:00"/>
  </r>
  <r>
    <s v="ORD00104"/>
    <x v="93"/>
    <x v="1"/>
    <s v="Delhi"/>
    <x v="4"/>
    <s v="Tech Solutions"/>
    <s v="Accessories"/>
    <s v="Headset"/>
    <n v="2"/>
    <n v="2500"/>
    <n v="0"/>
    <n v="5000"/>
    <n v="3494.94"/>
    <n v="1505.06"/>
    <s v="UPI"/>
    <d v="2025-12-05T00:00:00"/>
  </r>
  <r>
    <s v="ORD00105"/>
    <x v="94"/>
    <x v="2"/>
    <s v="Odisha"/>
    <x v="5"/>
    <s v="Vision Corp"/>
    <s v="Accessories"/>
    <s v="Mouse"/>
    <n v="3"/>
    <n v="800"/>
    <n v="15"/>
    <n v="2040"/>
    <n v="1632.21"/>
    <n v="407.79"/>
    <s v="Card"/>
    <d v="2025-12-24T00:00:00"/>
  </r>
  <r>
    <s v="ORD00106"/>
    <x v="95"/>
    <x v="1"/>
    <s v="Delhi"/>
    <x v="4"/>
    <s v="Vision Corp"/>
    <s v="Electronics"/>
    <s v="Laptop"/>
    <n v="1"/>
    <n v="55000"/>
    <n v="10"/>
    <n v="49500"/>
    <n v="42209.66"/>
    <n v="7290.34"/>
    <s v="Card"/>
    <d v="2025-08-24T00:00:00"/>
  </r>
  <r>
    <s v="ORD00107"/>
    <x v="96"/>
    <x v="2"/>
    <s v="Odisha"/>
    <x v="2"/>
    <s v="XYZ Ltd"/>
    <s v="Accessories"/>
    <s v="Mouse"/>
    <n v="1"/>
    <n v="800"/>
    <n v="5"/>
    <n v="760"/>
    <n v="560.22"/>
    <n v="199.78"/>
    <s v="UPI"/>
    <d v="2025-11-28T00:00:00"/>
  </r>
  <r>
    <s v="ORD00108"/>
    <x v="97"/>
    <x v="0"/>
    <s v="Gujarat"/>
    <x v="5"/>
    <s v="Prime Stores"/>
    <s v="Accessories"/>
    <s v="USB Drive"/>
    <n v="5"/>
    <n v="900"/>
    <n v="15"/>
    <n v="3825"/>
    <n v="3401.49"/>
    <n v="423.51"/>
    <s v="Card"/>
    <d v="2025-01-13T00:00:00"/>
  </r>
  <r>
    <s v="ORD00109"/>
    <x v="61"/>
    <x v="2"/>
    <s v="Odisha"/>
    <x v="0"/>
    <s v="XYZ Ltd"/>
    <s v="Electronics"/>
    <s v="Keyboard"/>
    <n v="2"/>
    <n v="1500"/>
    <n v="0"/>
    <n v="3000"/>
    <n v="2313.66"/>
    <n v="686.34"/>
    <s v="Net Banking"/>
    <d v="2025-06-19T00:00:00"/>
  </r>
  <r>
    <s v="ORD00110"/>
    <x v="98"/>
    <x v="2"/>
    <s v="West Bengal"/>
    <x v="5"/>
    <s v="Prime Stores"/>
    <s v="Electronics"/>
    <s v="Laptop"/>
    <n v="2"/>
    <n v="55000"/>
    <n v="10"/>
    <n v="99000"/>
    <n v="71553.56"/>
    <n v="27446.44"/>
    <s v="Net Banking"/>
    <d v="2025-10-20T00:00:00"/>
  </r>
  <r>
    <s v="ORD00111"/>
    <x v="89"/>
    <x v="0"/>
    <s v="Maharashtra"/>
    <x v="1"/>
    <s v="Vision Corp"/>
    <s v="Furniture"/>
    <s v="Desk"/>
    <n v="3"/>
    <n v="10000"/>
    <n v="15"/>
    <n v="25500"/>
    <n v="17308.32"/>
    <n v="8191.68"/>
    <s v="UPI"/>
    <d v="2025-07-02T00:00:00"/>
  </r>
  <r>
    <s v="ORD00112"/>
    <x v="99"/>
    <x v="3"/>
    <s v="Karnataka"/>
    <x v="3"/>
    <s v="Prime Stores"/>
    <s v="Accessories"/>
    <s v="Headset"/>
    <n v="3"/>
    <n v="2500"/>
    <n v="15"/>
    <n v="6375"/>
    <n v="5670.7"/>
    <n v="704.3"/>
    <s v="Net Banking"/>
    <d v="2025-05-15T00:00:00"/>
  </r>
  <r>
    <s v="ORD00113"/>
    <x v="100"/>
    <x v="0"/>
    <s v="Gujarat"/>
    <x v="4"/>
    <s v="Prime Stores"/>
    <s v="Furniture"/>
    <s v="Desk"/>
    <n v="9"/>
    <n v="10000"/>
    <n v="0"/>
    <n v="90000"/>
    <n v="64678.18"/>
    <n v="25321.82"/>
    <s v="Net Banking"/>
    <d v="2025-02-05T00:00:00"/>
  </r>
  <r>
    <s v="ORD00114"/>
    <x v="101"/>
    <x v="3"/>
    <s v="Tamil Nadu"/>
    <x v="1"/>
    <s v="Tech Solutions"/>
    <s v="Accessories"/>
    <s v="USB Drive"/>
    <n v="4"/>
    <n v="900"/>
    <n v="0"/>
    <n v="3600"/>
    <n v="2770.78"/>
    <n v="829.22"/>
    <s v="Cash"/>
    <d v="2025-05-18T00:00:00"/>
  </r>
  <r>
    <s v="ORD00115"/>
    <x v="50"/>
    <x v="0"/>
    <s v="Maharashtra"/>
    <x v="0"/>
    <s v="ABC Pvt Ltd"/>
    <s v="Accessories"/>
    <s v="USB Drive"/>
    <n v="1"/>
    <n v="900"/>
    <n v="5"/>
    <n v="855"/>
    <n v="608.04"/>
    <n v="246.96"/>
    <s v="Net Banking"/>
    <d v="2025-08-16T00:00:00"/>
  </r>
  <r>
    <s v="ORD00116"/>
    <x v="102"/>
    <x v="3"/>
    <s v="Telangana"/>
    <x v="0"/>
    <s v="Tech Solutions"/>
    <s v="Accessories"/>
    <s v="USB Drive"/>
    <n v="6"/>
    <n v="900"/>
    <n v="5"/>
    <n v="5130"/>
    <n v="3478.66"/>
    <n v="1651.34"/>
    <s v="Cash"/>
    <d v="2025-05-22T00:00:00"/>
  </r>
  <r>
    <s v="ORD00117"/>
    <x v="103"/>
    <x v="0"/>
    <s v="Gujarat"/>
    <x v="2"/>
    <s v="Tech Solutions"/>
    <s v="Accessories"/>
    <s v="Mouse"/>
    <n v="2"/>
    <n v="800"/>
    <n v="15"/>
    <n v="1360"/>
    <n v="1198.44"/>
    <n v="161.56"/>
    <s v="Net Banking"/>
    <d v="2025-05-10T00:00:00"/>
  </r>
  <r>
    <s v="ORD00118"/>
    <x v="104"/>
    <x v="1"/>
    <s v="Haryana"/>
    <x v="3"/>
    <s v="Tech Solutions"/>
    <s v="Accessories"/>
    <s v="Mouse"/>
    <n v="7"/>
    <n v="800"/>
    <n v="15"/>
    <n v="4760"/>
    <n v="3154.31"/>
    <n v="1605.69"/>
    <s v="Cash"/>
    <d v="2025-09-29T00:00:00"/>
  </r>
  <r>
    <s v="ORD00119"/>
    <x v="105"/>
    <x v="2"/>
    <s v="West Bengal"/>
    <x v="2"/>
    <s v="XYZ Ltd"/>
    <s v="Accessories"/>
    <s v="USB Drive"/>
    <n v="1"/>
    <n v="900"/>
    <n v="0"/>
    <n v="900"/>
    <n v="692.36"/>
    <n v="207.64"/>
    <s v="Net Banking"/>
    <d v="2025-07-22T00:00:00"/>
  </r>
  <r>
    <s v="ORD00120"/>
    <x v="106"/>
    <x v="2"/>
    <s v="West Bengal"/>
    <x v="1"/>
    <s v="Global Mart"/>
    <s v="Electronics"/>
    <s v="Laptop"/>
    <n v="8"/>
    <n v="55000"/>
    <n v="5"/>
    <n v="418000"/>
    <n v="328987.94"/>
    <n v="89012.06"/>
    <s v="Card"/>
    <d v="2025-11-13T00:00:00"/>
  </r>
  <r>
    <s v="ORD00121"/>
    <x v="2"/>
    <x v="1"/>
    <s v="Punjab"/>
    <x v="4"/>
    <s v="XYZ Ltd"/>
    <s v="Furniture"/>
    <s v="Office Chair"/>
    <n v="1"/>
    <n v="6000"/>
    <n v="15"/>
    <n v="5100"/>
    <n v="3419.84"/>
    <n v="1680.16"/>
    <s v="Card"/>
    <d v="2025-09-24T00:00:00"/>
  </r>
  <r>
    <s v="ORD00122"/>
    <x v="56"/>
    <x v="2"/>
    <s v="Odisha"/>
    <x v="1"/>
    <s v="Global Mart"/>
    <s v="Electronics"/>
    <s v="Keyboard"/>
    <n v="6"/>
    <n v="1500"/>
    <n v="10"/>
    <n v="8100"/>
    <n v="7268.25"/>
    <n v="831.75"/>
    <s v="Net Banking"/>
    <d v="2025-12-26T00:00:00"/>
  </r>
  <r>
    <s v="ORD00123"/>
    <x v="107"/>
    <x v="2"/>
    <s v="West Bengal"/>
    <x v="2"/>
    <s v="Vision Corp"/>
    <s v="Accessories"/>
    <s v="Mouse"/>
    <n v="1"/>
    <n v="800"/>
    <n v="15"/>
    <n v="680"/>
    <n v="608.32000000000005"/>
    <n v="71.680000000000007"/>
    <s v="Card"/>
    <d v="2025-01-05T00:00:00"/>
  </r>
  <r>
    <s v="ORD00124"/>
    <x v="108"/>
    <x v="2"/>
    <s v="Odisha"/>
    <x v="3"/>
    <s v="XYZ Ltd"/>
    <s v="Accessories"/>
    <s v="Headset"/>
    <n v="6"/>
    <n v="2500"/>
    <n v="0"/>
    <n v="15000"/>
    <n v="10242.799999999999"/>
    <n v="4757.2"/>
    <s v="Card"/>
    <d v="2025-01-25T00:00:00"/>
  </r>
  <r>
    <s v="ORD00125"/>
    <x v="109"/>
    <x v="3"/>
    <s v="Karnataka"/>
    <x v="1"/>
    <s v="Prime Stores"/>
    <s v="Furniture"/>
    <s v="Desk"/>
    <n v="4"/>
    <n v="10000"/>
    <n v="15"/>
    <n v="34000"/>
    <n v="28641.5"/>
    <n v="5358.5"/>
    <s v="Card"/>
    <d v="2025-02-15T00:00:00"/>
  </r>
  <r>
    <s v="ORD00126"/>
    <x v="53"/>
    <x v="2"/>
    <s v="West Bengal"/>
    <x v="2"/>
    <s v="Vision Corp"/>
    <s v="Accessories"/>
    <s v="Headset"/>
    <n v="10"/>
    <n v="2500"/>
    <n v="10"/>
    <n v="22500"/>
    <n v="14879.84"/>
    <n v="7620.16"/>
    <s v="Net Banking"/>
    <d v="2025-06-28T00:00:00"/>
  </r>
  <r>
    <s v="ORD00127"/>
    <x v="110"/>
    <x v="3"/>
    <s v="Karnataka"/>
    <x v="3"/>
    <s v="ABC Pvt Ltd"/>
    <s v="Furniture"/>
    <s v="Office Chair"/>
    <n v="7"/>
    <n v="6000"/>
    <n v="10"/>
    <n v="37800"/>
    <n v="31408.29"/>
    <n v="6391.71"/>
    <s v="Card"/>
    <d v="2025-12-12T00:00:00"/>
  </r>
  <r>
    <s v="ORD00128"/>
    <x v="111"/>
    <x v="2"/>
    <s v="Odisha"/>
    <x v="5"/>
    <s v="XYZ Ltd"/>
    <s v="Accessories"/>
    <s v="Headset"/>
    <n v="7"/>
    <n v="2500"/>
    <n v="10"/>
    <n v="15750"/>
    <n v="10276.709999999999"/>
    <n v="5473.29"/>
    <s v="Net Banking"/>
    <d v="2025-10-10T00:00:00"/>
  </r>
  <r>
    <s v="ORD00129"/>
    <x v="112"/>
    <x v="2"/>
    <s v="West Bengal"/>
    <x v="2"/>
    <s v="Prime Stores"/>
    <s v="Furniture"/>
    <s v="Office Chair"/>
    <n v="1"/>
    <n v="6000"/>
    <n v="10"/>
    <n v="5400"/>
    <n v="3536.23"/>
    <n v="1863.77"/>
    <s v="Cash"/>
    <d v="2025-11-29T00:00:00"/>
  </r>
  <r>
    <s v="ORD00130"/>
    <x v="113"/>
    <x v="2"/>
    <s v="West Bengal"/>
    <x v="5"/>
    <s v="ABC Pvt Ltd"/>
    <s v="Accessories"/>
    <s v="USB Drive"/>
    <n v="1"/>
    <n v="900"/>
    <n v="5"/>
    <n v="855"/>
    <n v="624.16999999999996"/>
    <n v="230.83"/>
    <s v="Card"/>
    <d v="2025-05-11T00:00:00"/>
  </r>
  <r>
    <s v="ORD00131"/>
    <x v="114"/>
    <x v="3"/>
    <s v="Karnataka"/>
    <x v="5"/>
    <s v="Tech Solutions"/>
    <s v="Furniture"/>
    <s v="Office Chair"/>
    <n v="7"/>
    <n v="6000"/>
    <n v="0"/>
    <n v="42000"/>
    <n v="28673.58"/>
    <n v="13326.42"/>
    <s v="Card"/>
    <d v="2025-12-22T00:00:00"/>
  </r>
  <r>
    <s v="ORD00132"/>
    <x v="115"/>
    <x v="2"/>
    <s v="Odisha"/>
    <x v="5"/>
    <s v="Vision Corp"/>
    <s v="Electronics"/>
    <s v="Keyboard"/>
    <n v="3"/>
    <n v="1500"/>
    <n v="15"/>
    <n v="3825"/>
    <n v="2880.09"/>
    <n v="944.91"/>
    <s v="UPI"/>
    <d v="2025-03-04T00:00:00"/>
  </r>
  <r>
    <s v="ORD00133"/>
    <x v="116"/>
    <x v="2"/>
    <s v="West Bengal"/>
    <x v="1"/>
    <s v="Prime Stores"/>
    <s v="Accessories"/>
    <s v="USB Drive"/>
    <n v="1"/>
    <n v="900"/>
    <n v="0"/>
    <n v="900"/>
    <n v="725.68"/>
    <n v="174.32"/>
    <s v="UPI"/>
    <d v="2025-04-16T00:00:00"/>
  </r>
  <r>
    <s v="ORD00134"/>
    <x v="117"/>
    <x v="2"/>
    <s v="West Bengal"/>
    <x v="5"/>
    <s v="XYZ Ltd"/>
    <s v="Accessories"/>
    <s v="Mouse"/>
    <n v="7"/>
    <n v="800"/>
    <n v="15"/>
    <n v="4760"/>
    <n v="4179.59"/>
    <n v="580.41"/>
    <s v="Net Banking"/>
    <d v="2025-07-28T00:00:00"/>
  </r>
  <r>
    <s v="ORD00135"/>
    <x v="118"/>
    <x v="3"/>
    <s v="Karnataka"/>
    <x v="4"/>
    <s v="XYZ Ltd"/>
    <s v="Furniture"/>
    <s v="Office Chair"/>
    <n v="10"/>
    <n v="6000"/>
    <n v="5"/>
    <n v="57000"/>
    <n v="37087.64"/>
    <n v="19912.36"/>
    <s v="UPI"/>
    <d v="2025-05-27T00:00:00"/>
  </r>
  <r>
    <s v="ORD00136"/>
    <x v="119"/>
    <x v="0"/>
    <s v="Maharashtra"/>
    <x v="3"/>
    <s v="Tech Solutions"/>
    <s v="Accessories"/>
    <s v="Mouse"/>
    <n v="2"/>
    <n v="800"/>
    <n v="5"/>
    <n v="1520"/>
    <n v="1207.1199999999999"/>
    <n v="312.88"/>
    <s v="UPI"/>
    <d v="2025-12-28T00:00:00"/>
  </r>
  <r>
    <s v="ORD00137"/>
    <x v="4"/>
    <x v="1"/>
    <s v="Punjab"/>
    <x v="0"/>
    <s v="Prime Stores"/>
    <s v="Furniture"/>
    <s v="Desk"/>
    <n v="1"/>
    <n v="10000"/>
    <n v="5"/>
    <n v="9500"/>
    <n v="7981.17"/>
    <n v="1518.83"/>
    <s v="UPI"/>
    <d v="2025-01-31T00:00:00"/>
  </r>
  <r>
    <s v="ORD00138"/>
    <x v="120"/>
    <x v="0"/>
    <s v="Maharashtra"/>
    <x v="3"/>
    <s v="XYZ Ltd"/>
    <s v="Accessories"/>
    <s v="Mouse"/>
    <n v="6"/>
    <n v="800"/>
    <n v="0"/>
    <n v="4800"/>
    <n v="4072.95"/>
    <n v="727.05"/>
    <s v="Net Banking"/>
    <d v="2025-05-05T00:00:00"/>
  </r>
  <r>
    <s v="ORD00139"/>
    <x v="114"/>
    <x v="3"/>
    <s v="Tamil Nadu"/>
    <x v="3"/>
    <s v="XYZ Ltd"/>
    <s v="Electronics"/>
    <s v="Monitor"/>
    <n v="4"/>
    <n v="12000"/>
    <n v="10"/>
    <n v="43200"/>
    <n v="36438.35"/>
    <n v="6761.65"/>
    <s v="UPI"/>
    <d v="2025-12-22T00:00:00"/>
  </r>
  <r>
    <s v="ORD00140"/>
    <x v="121"/>
    <x v="2"/>
    <s v="West Bengal"/>
    <x v="5"/>
    <s v="Tech Solutions"/>
    <s v="Furniture"/>
    <s v="Desk"/>
    <n v="6"/>
    <n v="10000"/>
    <n v="5"/>
    <n v="57000"/>
    <n v="43095.33"/>
    <n v="13904.67"/>
    <s v="Card"/>
    <d v="2025-09-23T00:00:00"/>
  </r>
  <r>
    <s v="ORD00141"/>
    <x v="122"/>
    <x v="0"/>
    <s v="Maharashtra"/>
    <x v="0"/>
    <s v="Tech Solutions"/>
    <s v="Furniture"/>
    <s v="Office Chair"/>
    <n v="6"/>
    <n v="6000"/>
    <n v="5"/>
    <n v="34200"/>
    <n v="22323.09"/>
    <n v="11876.91"/>
    <s v="Card"/>
    <d v="2025-06-20T00:00:00"/>
  </r>
  <r>
    <s v="ORD00142"/>
    <x v="121"/>
    <x v="1"/>
    <s v="Haryana"/>
    <x v="1"/>
    <s v="Global Mart"/>
    <s v="Electronics"/>
    <s v="Monitor"/>
    <n v="6"/>
    <n v="12000"/>
    <n v="10"/>
    <n v="64800"/>
    <n v="54939.91"/>
    <n v="9860.09"/>
    <s v="UPI"/>
    <d v="2025-09-23T00:00:00"/>
  </r>
  <r>
    <s v="ORD00143"/>
    <x v="123"/>
    <x v="1"/>
    <s v="Haryana"/>
    <x v="3"/>
    <s v="ABC Pvt Ltd"/>
    <s v="Furniture"/>
    <s v="Office Chair"/>
    <n v="10"/>
    <n v="6000"/>
    <n v="5"/>
    <n v="57000"/>
    <n v="44939.5"/>
    <n v="12060.5"/>
    <s v="Cash"/>
    <d v="2025-05-12T00:00:00"/>
  </r>
  <r>
    <s v="ORD00144"/>
    <x v="124"/>
    <x v="2"/>
    <s v="Odisha"/>
    <x v="3"/>
    <s v="XYZ Ltd"/>
    <s v="Furniture"/>
    <s v="Office Chair"/>
    <n v="8"/>
    <n v="6000"/>
    <n v="0"/>
    <n v="48000"/>
    <n v="32416.53"/>
    <n v="15583.47"/>
    <s v="UPI"/>
    <d v="2025-01-16T00:00:00"/>
  </r>
  <r>
    <s v="ORD00145"/>
    <x v="28"/>
    <x v="1"/>
    <s v="Punjab"/>
    <x v="3"/>
    <s v="Vision Corp"/>
    <s v="Accessories"/>
    <s v="Headset"/>
    <n v="9"/>
    <n v="2500"/>
    <n v="5"/>
    <n v="21375"/>
    <n v="15003.19"/>
    <n v="6371.81"/>
    <s v="Net Banking"/>
    <d v="2025-09-17T00:00:00"/>
  </r>
  <r>
    <s v="ORD00146"/>
    <x v="115"/>
    <x v="1"/>
    <s v="Haryana"/>
    <x v="1"/>
    <s v="Global Mart"/>
    <s v="Furniture"/>
    <s v="Desk"/>
    <n v="3"/>
    <n v="10000"/>
    <n v="0"/>
    <n v="30000"/>
    <n v="26463.81"/>
    <n v="3536.19"/>
    <s v="Net Banking"/>
    <d v="2025-03-04T00:00:00"/>
  </r>
  <r>
    <s v="ORD00147"/>
    <x v="125"/>
    <x v="3"/>
    <s v="Tamil Nadu"/>
    <x v="2"/>
    <s v="Prime Stores"/>
    <s v="Electronics"/>
    <s v="Laptop"/>
    <n v="2"/>
    <n v="55000"/>
    <n v="5"/>
    <n v="104500"/>
    <n v="87402.21"/>
    <n v="17097.79"/>
    <s v="Card"/>
    <d v="2025-03-29T00:00:00"/>
  </r>
  <r>
    <s v="ORD00148"/>
    <x v="126"/>
    <x v="1"/>
    <s v="Delhi"/>
    <x v="3"/>
    <s v="ABC Pvt Ltd"/>
    <s v="Electronics"/>
    <s v="Laptop"/>
    <n v="1"/>
    <n v="55000"/>
    <n v="0"/>
    <n v="55000"/>
    <n v="39313"/>
    <n v="15687"/>
    <s v="UPI"/>
    <d v="2025-10-22T00:00:00"/>
  </r>
  <r>
    <s v="ORD00149"/>
    <x v="74"/>
    <x v="1"/>
    <s v="Haryana"/>
    <x v="1"/>
    <s v="Global Mart"/>
    <s v="Accessories"/>
    <s v="USB Drive"/>
    <n v="1"/>
    <n v="900"/>
    <n v="15"/>
    <n v="765"/>
    <n v="581.33000000000004"/>
    <n v="183.67"/>
    <s v="Cash"/>
    <d v="2025-03-08T00:00:00"/>
  </r>
  <r>
    <s v="ORD00150"/>
    <x v="127"/>
    <x v="3"/>
    <s v="Telangana"/>
    <x v="1"/>
    <s v="XYZ Ltd"/>
    <s v="Furniture"/>
    <s v="Office Chair"/>
    <n v="1"/>
    <n v="6000"/>
    <n v="0"/>
    <n v="6000"/>
    <n v="4871.12"/>
    <n v="1128.8800000000001"/>
    <s v="Card"/>
    <d v="2025-01-14T00:00:00"/>
  </r>
  <r>
    <s v="ORD00151"/>
    <x v="128"/>
    <x v="2"/>
    <s v="West Bengal"/>
    <x v="1"/>
    <s v="Prime Stores"/>
    <s v="Furniture"/>
    <s v="Desk"/>
    <n v="1"/>
    <n v="10000"/>
    <n v="10"/>
    <n v="9000"/>
    <n v="6371.78"/>
    <n v="2628.22"/>
    <s v="Net Banking"/>
    <d v="2025-12-27T00:00:00"/>
  </r>
  <r>
    <s v="ORD00152"/>
    <x v="118"/>
    <x v="1"/>
    <s v="Haryana"/>
    <x v="1"/>
    <s v="XYZ Ltd"/>
    <s v="Electronics"/>
    <s v="Monitor"/>
    <n v="8"/>
    <n v="12000"/>
    <n v="15"/>
    <n v="81600"/>
    <n v="55048.67"/>
    <n v="26551.33"/>
    <s v="UPI"/>
    <d v="2025-05-27T00:00:00"/>
  </r>
  <r>
    <s v="ORD00153"/>
    <x v="129"/>
    <x v="0"/>
    <s v="Maharashtra"/>
    <x v="0"/>
    <s v="Global Mart"/>
    <s v="Electronics"/>
    <s v="Laptop"/>
    <n v="6"/>
    <n v="55000"/>
    <n v="0"/>
    <n v="330000"/>
    <n v="250281.87"/>
    <n v="79718.13"/>
    <s v="UPI"/>
    <d v="2025-09-13T00:00:00"/>
  </r>
  <r>
    <s v="ORD00154"/>
    <x v="130"/>
    <x v="0"/>
    <s v="Gujarat"/>
    <x v="1"/>
    <s v="Vision Corp"/>
    <s v="Electronics"/>
    <s v="Monitor"/>
    <n v="8"/>
    <n v="12000"/>
    <n v="15"/>
    <n v="81600"/>
    <n v="66945.25"/>
    <n v="14654.75"/>
    <s v="Net Banking"/>
    <d v="2025-01-02T00:00:00"/>
  </r>
  <r>
    <s v="ORD00155"/>
    <x v="131"/>
    <x v="2"/>
    <s v="Odisha"/>
    <x v="4"/>
    <s v="Tech Solutions"/>
    <s v="Furniture"/>
    <s v="Desk"/>
    <n v="5"/>
    <n v="10000"/>
    <n v="0"/>
    <n v="50000"/>
    <n v="34085.629999999997"/>
    <n v="15914.37"/>
    <s v="Net Banking"/>
    <d v="2025-03-05T00:00:00"/>
  </r>
  <r>
    <s v="ORD00156"/>
    <x v="132"/>
    <x v="0"/>
    <s v="Maharashtra"/>
    <x v="5"/>
    <s v="Tech Solutions"/>
    <s v="Accessories"/>
    <s v="USB Drive"/>
    <n v="4"/>
    <n v="900"/>
    <n v="15"/>
    <n v="3060"/>
    <n v="2211.46"/>
    <n v="848.54"/>
    <s v="Net Banking"/>
    <d v="2025-12-16T00:00:00"/>
  </r>
  <r>
    <s v="ORD00157"/>
    <x v="49"/>
    <x v="3"/>
    <s v="Karnataka"/>
    <x v="4"/>
    <s v="Tech Solutions"/>
    <s v="Accessories"/>
    <s v="Mouse"/>
    <n v="8"/>
    <n v="800"/>
    <n v="5"/>
    <n v="6080"/>
    <n v="5452.03"/>
    <n v="627.97"/>
    <s v="Net Banking"/>
    <d v="2025-04-19T00:00:00"/>
  </r>
  <r>
    <s v="ORD00158"/>
    <x v="5"/>
    <x v="0"/>
    <s v="Maharashtra"/>
    <x v="4"/>
    <s v="Prime Stores"/>
    <s v="Accessories"/>
    <s v="Mouse"/>
    <n v="6"/>
    <n v="800"/>
    <n v="5"/>
    <n v="4560"/>
    <n v="3130.5"/>
    <n v="1429.5"/>
    <s v="Card"/>
    <d v="2025-11-05T00:00:00"/>
  </r>
  <r>
    <s v="ORD00159"/>
    <x v="82"/>
    <x v="0"/>
    <s v="Gujarat"/>
    <x v="2"/>
    <s v="Prime Stores"/>
    <s v="Electronics"/>
    <s v="Laptop"/>
    <n v="1"/>
    <n v="55000"/>
    <n v="0"/>
    <n v="55000"/>
    <n v="36260.120000000003"/>
    <n v="18739.88"/>
    <s v="Cash"/>
    <d v="2025-03-01T00:00:00"/>
  </r>
  <r>
    <s v="ORD00160"/>
    <x v="109"/>
    <x v="2"/>
    <s v="West Bengal"/>
    <x v="1"/>
    <s v="ABC Pvt Ltd"/>
    <s v="Electronics"/>
    <s v="Laptop"/>
    <n v="1"/>
    <n v="55000"/>
    <n v="15"/>
    <n v="46750"/>
    <n v="39451.839999999997"/>
    <n v="7298.16"/>
    <s v="Net Banking"/>
    <d v="2025-02-15T00:00:00"/>
  </r>
  <r>
    <s v="ORD00161"/>
    <x v="51"/>
    <x v="0"/>
    <s v="Gujarat"/>
    <x v="1"/>
    <s v="Vision Corp"/>
    <s v="Electronics"/>
    <s v="Monitor"/>
    <n v="3"/>
    <n v="12000"/>
    <n v="0"/>
    <n v="36000"/>
    <n v="23869.89"/>
    <n v="12130.11"/>
    <s v="UPI"/>
    <d v="2025-03-17T00:00:00"/>
  </r>
  <r>
    <s v="ORD00162"/>
    <x v="133"/>
    <x v="1"/>
    <s v="Haryana"/>
    <x v="3"/>
    <s v="XYZ Ltd"/>
    <s v="Electronics"/>
    <s v="Monitor"/>
    <n v="6"/>
    <n v="12000"/>
    <n v="0"/>
    <n v="72000"/>
    <n v="62229.19"/>
    <n v="9770.81"/>
    <s v="Net Banking"/>
    <d v="2025-05-20T00:00:00"/>
  </r>
  <r>
    <s v="ORD00163"/>
    <x v="134"/>
    <x v="0"/>
    <s v="Maharashtra"/>
    <x v="5"/>
    <s v="Vision Corp"/>
    <s v="Furniture"/>
    <s v="Office Chair"/>
    <n v="3"/>
    <n v="6000"/>
    <n v="5"/>
    <n v="17100"/>
    <n v="14549.04"/>
    <n v="2550.96"/>
    <s v="Card"/>
    <d v="2025-11-03T00:00:00"/>
  </r>
  <r>
    <s v="ORD00164"/>
    <x v="135"/>
    <x v="3"/>
    <s v="Tamil Nadu"/>
    <x v="2"/>
    <s v="Prime Stores"/>
    <s v="Accessories"/>
    <s v="Headset"/>
    <n v="10"/>
    <n v="2500"/>
    <n v="15"/>
    <n v="21250"/>
    <n v="14160.35"/>
    <n v="7089.65"/>
    <s v="Card"/>
    <d v="2025-11-23T00:00:00"/>
  </r>
  <r>
    <s v="ORD00165"/>
    <x v="50"/>
    <x v="1"/>
    <s v="Delhi"/>
    <x v="3"/>
    <s v="Prime Stores"/>
    <s v="Furniture"/>
    <s v="Office Chair"/>
    <n v="4"/>
    <n v="6000"/>
    <n v="15"/>
    <n v="20400"/>
    <n v="16147.47"/>
    <n v="4252.53"/>
    <s v="Net Banking"/>
    <d v="2025-08-16T00:00:00"/>
  </r>
  <r>
    <s v="ORD00166"/>
    <x v="113"/>
    <x v="0"/>
    <s v="Gujarat"/>
    <x v="3"/>
    <s v="Tech Solutions"/>
    <s v="Electronics"/>
    <s v="Monitor"/>
    <n v="6"/>
    <n v="12000"/>
    <n v="15"/>
    <n v="61200"/>
    <n v="47988.2"/>
    <n v="13211.8"/>
    <s v="Cash"/>
    <d v="2025-05-11T00:00:00"/>
  </r>
  <r>
    <s v="ORD00167"/>
    <x v="136"/>
    <x v="0"/>
    <s v="Maharashtra"/>
    <x v="5"/>
    <s v="ABC Pvt Ltd"/>
    <s v="Accessories"/>
    <s v="Mouse"/>
    <n v="2"/>
    <n v="800"/>
    <n v="0"/>
    <n v="1600"/>
    <n v="1240.1400000000001"/>
    <n v="359.86"/>
    <s v="Cash"/>
    <d v="2025-04-25T00:00:00"/>
  </r>
  <r>
    <s v="ORD00168"/>
    <x v="28"/>
    <x v="1"/>
    <s v="Delhi"/>
    <x v="0"/>
    <s v="Global Mart"/>
    <s v="Furniture"/>
    <s v="Desk"/>
    <n v="1"/>
    <n v="10000"/>
    <n v="0"/>
    <n v="10000"/>
    <n v="8064.53"/>
    <n v="1935.47"/>
    <s v="Cash"/>
    <d v="2025-09-17T00:00:00"/>
  </r>
  <r>
    <s v="ORD00169"/>
    <x v="137"/>
    <x v="1"/>
    <s v="Haryana"/>
    <x v="0"/>
    <s v="Prime Stores"/>
    <s v="Accessories"/>
    <s v="Headset"/>
    <n v="3"/>
    <n v="2500"/>
    <n v="0"/>
    <n v="7500"/>
    <n v="5927.32"/>
    <n v="1572.68"/>
    <s v="UPI"/>
    <d v="2025-12-08T00:00:00"/>
  </r>
  <r>
    <s v="ORD00170"/>
    <x v="138"/>
    <x v="0"/>
    <s v="Maharashtra"/>
    <x v="1"/>
    <s v="Global Mart"/>
    <s v="Electronics"/>
    <s v="Laptop"/>
    <n v="9"/>
    <n v="55000"/>
    <n v="5"/>
    <n v="470250"/>
    <n v="335226.34999999998"/>
    <n v="135023.65"/>
    <s v="UPI"/>
    <d v="2025-08-03T00:00:00"/>
  </r>
  <r>
    <s v="ORD00171"/>
    <x v="2"/>
    <x v="0"/>
    <s v="Maharashtra"/>
    <x v="0"/>
    <s v="Vision Corp"/>
    <s v="Electronics"/>
    <s v="Laptop"/>
    <n v="7"/>
    <n v="55000"/>
    <n v="0"/>
    <n v="385000"/>
    <n v="261153.33"/>
    <n v="123846.67"/>
    <s v="UPI"/>
    <d v="2025-09-24T00:00:00"/>
  </r>
  <r>
    <s v="ORD00172"/>
    <x v="139"/>
    <x v="0"/>
    <s v="Gujarat"/>
    <x v="5"/>
    <s v="ABC Pvt Ltd"/>
    <s v="Accessories"/>
    <s v="USB Drive"/>
    <n v="4"/>
    <n v="900"/>
    <n v="0"/>
    <n v="3600"/>
    <n v="3239.88"/>
    <n v="360.12"/>
    <s v="UPI"/>
    <d v="2025-11-22T00:00:00"/>
  </r>
  <r>
    <s v="ORD00173"/>
    <x v="140"/>
    <x v="2"/>
    <s v="Odisha"/>
    <x v="3"/>
    <s v="Global Mart"/>
    <s v="Accessories"/>
    <s v="Mouse"/>
    <n v="6"/>
    <n v="800"/>
    <n v="15"/>
    <n v="4080"/>
    <n v="2874.48"/>
    <n v="1205.52"/>
    <s v="Net Banking"/>
    <d v="2025-01-17T00:00:00"/>
  </r>
  <r>
    <s v="ORD00174"/>
    <x v="141"/>
    <x v="2"/>
    <s v="West Bengal"/>
    <x v="2"/>
    <s v="Global Mart"/>
    <s v="Electronics"/>
    <s v="Keyboard"/>
    <n v="2"/>
    <n v="1500"/>
    <n v="0"/>
    <n v="3000"/>
    <n v="2284.4299999999998"/>
    <n v="715.57"/>
    <s v="Cash"/>
    <d v="2025-06-23T00:00:00"/>
  </r>
  <r>
    <s v="ORD00175"/>
    <x v="0"/>
    <x v="1"/>
    <s v="Delhi"/>
    <x v="1"/>
    <s v="XYZ Ltd"/>
    <s v="Furniture"/>
    <s v="Office Chair"/>
    <n v="8"/>
    <n v="6000"/>
    <n v="0"/>
    <n v="48000"/>
    <n v="40883.57"/>
    <n v="7116.43"/>
    <s v="Card"/>
    <d v="2025-01-18T00:00:00"/>
  </r>
  <r>
    <s v="ORD00176"/>
    <x v="87"/>
    <x v="0"/>
    <s v="Gujarat"/>
    <x v="4"/>
    <s v="XYZ Ltd"/>
    <s v="Furniture"/>
    <s v="Office Chair"/>
    <n v="10"/>
    <n v="6000"/>
    <n v="5"/>
    <n v="57000"/>
    <n v="38824.51"/>
    <n v="18175.490000000002"/>
    <s v="Net Banking"/>
    <d v="2025-03-19T00:00:00"/>
  </r>
  <r>
    <s v="ORD00177"/>
    <x v="142"/>
    <x v="0"/>
    <s v="Gujarat"/>
    <x v="5"/>
    <s v="Tech Solutions"/>
    <s v="Furniture"/>
    <s v="Office Chair"/>
    <n v="6"/>
    <n v="6000"/>
    <n v="10"/>
    <n v="32400"/>
    <n v="25455.22"/>
    <n v="6944.78"/>
    <s v="Cash"/>
    <d v="2025-03-30T00:00:00"/>
  </r>
  <r>
    <s v="ORD00178"/>
    <x v="45"/>
    <x v="1"/>
    <s v="Haryana"/>
    <x v="0"/>
    <s v="Tech Solutions"/>
    <s v="Accessories"/>
    <s v="Mouse"/>
    <n v="9"/>
    <n v="800"/>
    <n v="0"/>
    <n v="7200"/>
    <n v="5788.64"/>
    <n v="1411.36"/>
    <s v="Card"/>
    <d v="2025-11-16T00:00:00"/>
  </r>
  <r>
    <s v="ORD00179"/>
    <x v="123"/>
    <x v="1"/>
    <s v="Haryana"/>
    <x v="3"/>
    <s v="Global Mart"/>
    <s v="Furniture"/>
    <s v="Desk"/>
    <n v="5"/>
    <n v="10000"/>
    <n v="0"/>
    <n v="50000"/>
    <n v="40657.26"/>
    <n v="9342.74"/>
    <s v="Cash"/>
    <d v="2025-05-12T00:00:00"/>
  </r>
  <r>
    <s v="ORD00180"/>
    <x v="143"/>
    <x v="3"/>
    <s v="Karnataka"/>
    <x v="0"/>
    <s v="Prime Stores"/>
    <s v="Electronics"/>
    <s v="Monitor"/>
    <n v="2"/>
    <n v="12000"/>
    <n v="0"/>
    <n v="24000"/>
    <n v="15613.18"/>
    <n v="8386.82"/>
    <s v="Net Banking"/>
    <d v="2025-07-08T00:00:00"/>
  </r>
  <r>
    <s v="ORD00181"/>
    <x v="144"/>
    <x v="2"/>
    <s v="West Bengal"/>
    <x v="3"/>
    <s v="ABC Pvt Ltd"/>
    <s v="Accessories"/>
    <s v="USB Drive"/>
    <n v="3"/>
    <n v="900"/>
    <n v="0"/>
    <n v="2700"/>
    <n v="1814.39"/>
    <n v="885.61"/>
    <s v="Cash"/>
    <d v="2025-04-07T00:00:00"/>
  </r>
  <r>
    <s v="ORD00182"/>
    <x v="145"/>
    <x v="1"/>
    <s v="Punjab"/>
    <x v="5"/>
    <s v="Global Mart"/>
    <s v="Accessories"/>
    <s v="Mouse"/>
    <n v="10"/>
    <n v="800"/>
    <n v="15"/>
    <n v="6800"/>
    <n v="4930.21"/>
    <n v="1869.79"/>
    <s v="Cash"/>
    <d v="2025-11-24T00:00:00"/>
  </r>
  <r>
    <s v="ORD00183"/>
    <x v="99"/>
    <x v="1"/>
    <s v="Haryana"/>
    <x v="4"/>
    <s v="Vision Corp"/>
    <s v="Electronics"/>
    <s v="Keyboard"/>
    <n v="3"/>
    <n v="1500"/>
    <n v="10"/>
    <n v="4050"/>
    <n v="3095.92"/>
    <n v="954.08"/>
    <s v="Card"/>
    <d v="2025-05-15T00:00:00"/>
  </r>
  <r>
    <s v="ORD00184"/>
    <x v="146"/>
    <x v="0"/>
    <s v="Gujarat"/>
    <x v="5"/>
    <s v="ABC Pvt Ltd"/>
    <s v="Furniture"/>
    <s v="Office Chair"/>
    <n v="10"/>
    <n v="6000"/>
    <n v="0"/>
    <n v="60000"/>
    <n v="47754.51"/>
    <n v="12245.49"/>
    <s v="Card"/>
    <d v="2025-02-13T00:00:00"/>
  </r>
  <r>
    <s v="ORD00185"/>
    <x v="147"/>
    <x v="2"/>
    <s v="West Bengal"/>
    <x v="1"/>
    <s v="ABC Pvt Ltd"/>
    <s v="Electronics"/>
    <s v="Monitor"/>
    <n v="8"/>
    <n v="12000"/>
    <n v="0"/>
    <n v="96000"/>
    <n v="79558.210000000006"/>
    <n v="16441.79"/>
    <s v="Card"/>
    <d v="2025-02-22T00:00:00"/>
  </r>
  <r>
    <s v="ORD00186"/>
    <x v="148"/>
    <x v="3"/>
    <s v="Tamil Nadu"/>
    <x v="1"/>
    <s v="Global Mart"/>
    <s v="Accessories"/>
    <s v="Headset"/>
    <n v="9"/>
    <n v="2500"/>
    <n v="10"/>
    <n v="20250"/>
    <n v="13164.27"/>
    <n v="7085.73"/>
    <s v="UPI"/>
    <d v="2025-01-03T00:00:00"/>
  </r>
  <r>
    <s v="ORD00187"/>
    <x v="149"/>
    <x v="1"/>
    <s v="Punjab"/>
    <x v="5"/>
    <s v="Vision Corp"/>
    <s v="Furniture"/>
    <s v="Desk"/>
    <n v="6"/>
    <n v="10000"/>
    <n v="5"/>
    <n v="57000"/>
    <n v="41309.660000000003"/>
    <n v="15690.34"/>
    <s v="Cash"/>
    <d v="2025-10-17T00:00:00"/>
  </r>
  <r>
    <s v="ORD00188"/>
    <x v="150"/>
    <x v="3"/>
    <s v="Telangana"/>
    <x v="2"/>
    <s v="Prime Stores"/>
    <s v="Accessories"/>
    <s v="Headset"/>
    <n v="9"/>
    <n v="2500"/>
    <n v="10"/>
    <n v="20250"/>
    <n v="16600.189999999999"/>
    <n v="3649.81"/>
    <s v="Cash"/>
    <d v="2025-08-29T00:00:00"/>
  </r>
  <r>
    <s v="ORD00189"/>
    <x v="112"/>
    <x v="2"/>
    <s v="West Bengal"/>
    <x v="3"/>
    <s v="Tech Solutions"/>
    <s v="Electronics"/>
    <s v="Monitor"/>
    <n v="2"/>
    <n v="12000"/>
    <n v="10"/>
    <n v="21600"/>
    <n v="14135.49"/>
    <n v="7464.51"/>
    <s v="Cash"/>
    <d v="2025-11-29T00:00:00"/>
  </r>
  <r>
    <s v="ORD00190"/>
    <x v="71"/>
    <x v="2"/>
    <s v="Odisha"/>
    <x v="2"/>
    <s v="Vision Corp"/>
    <s v="Accessories"/>
    <s v="USB Drive"/>
    <n v="6"/>
    <n v="900"/>
    <n v="15"/>
    <n v="4590"/>
    <n v="3403.5"/>
    <n v="1186.5"/>
    <s v="Cash"/>
    <d v="2025-05-19T00:00:00"/>
  </r>
  <r>
    <s v="ORD00191"/>
    <x v="81"/>
    <x v="0"/>
    <s v="Gujarat"/>
    <x v="0"/>
    <s v="XYZ Ltd"/>
    <s v="Electronics"/>
    <s v="Monitor"/>
    <n v="5"/>
    <n v="12000"/>
    <n v="15"/>
    <n v="51000"/>
    <n v="35695.46"/>
    <n v="15304.54"/>
    <s v="UPI"/>
    <d v="2025-06-26T00:00:00"/>
  </r>
  <r>
    <s v="ORD00192"/>
    <x v="59"/>
    <x v="2"/>
    <s v="Odisha"/>
    <x v="1"/>
    <s v="XYZ Ltd"/>
    <s v="Furniture"/>
    <s v="Office Chair"/>
    <n v="10"/>
    <n v="6000"/>
    <n v="15"/>
    <n v="51000"/>
    <n v="37133.33"/>
    <n v="13866.67"/>
    <s v="Net Banking"/>
    <d v="2025-02-08T00:00:00"/>
  </r>
  <r>
    <s v="ORD00193"/>
    <x v="62"/>
    <x v="3"/>
    <s v="Telangana"/>
    <x v="3"/>
    <s v="Global Mart"/>
    <s v="Electronics"/>
    <s v="Laptop"/>
    <n v="8"/>
    <n v="55000"/>
    <n v="5"/>
    <n v="418000"/>
    <n v="309124.45"/>
    <n v="108875.55"/>
    <s v="UPI"/>
    <d v="2025-08-08T00:00:00"/>
  </r>
  <r>
    <s v="ORD00194"/>
    <x v="151"/>
    <x v="2"/>
    <s v="West Bengal"/>
    <x v="2"/>
    <s v="ABC Pvt Ltd"/>
    <s v="Electronics"/>
    <s v="Laptop"/>
    <n v="9"/>
    <n v="55000"/>
    <n v="0"/>
    <n v="495000"/>
    <n v="362315.5"/>
    <n v="132684.5"/>
    <s v="Cash"/>
    <d v="2025-07-05T00:00:00"/>
  </r>
  <r>
    <s v="ORD00195"/>
    <x v="144"/>
    <x v="1"/>
    <s v="Punjab"/>
    <x v="0"/>
    <s v="XYZ Ltd"/>
    <s v="Furniture"/>
    <s v="Desk"/>
    <n v="6"/>
    <n v="10000"/>
    <n v="15"/>
    <n v="51000"/>
    <n v="36797.47"/>
    <n v="14202.53"/>
    <s v="Cash"/>
    <d v="2025-04-07T00:00:00"/>
  </r>
  <r>
    <s v="ORD00196"/>
    <x v="152"/>
    <x v="0"/>
    <s v="Maharashtra"/>
    <x v="0"/>
    <s v="ABC Pvt Ltd"/>
    <s v="Accessories"/>
    <s v="Mouse"/>
    <n v="7"/>
    <n v="800"/>
    <n v="15"/>
    <n v="4760"/>
    <n v="3405.66"/>
    <n v="1354.34"/>
    <s v="Cash"/>
    <d v="2025-08-20T00:00:00"/>
  </r>
  <r>
    <s v="ORD00197"/>
    <x v="3"/>
    <x v="2"/>
    <s v="Odisha"/>
    <x v="1"/>
    <s v="XYZ Ltd"/>
    <s v="Electronics"/>
    <s v="Laptop"/>
    <n v="1"/>
    <n v="55000"/>
    <n v="15"/>
    <n v="46750"/>
    <n v="35547.25"/>
    <n v="11202.75"/>
    <s v="Cash"/>
    <d v="2025-05-28T00:00:00"/>
  </r>
  <r>
    <s v="ORD00198"/>
    <x v="153"/>
    <x v="1"/>
    <s v="Delhi"/>
    <x v="0"/>
    <s v="Prime Stores"/>
    <s v="Accessories"/>
    <s v="Headset"/>
    <n v="6"/>
    <n v="2500"/>
    <n v="5"/>
    <n v="14250"/>
    <n v="9597.66"/>
    <n v="4652.34"/>
    <s v="Cash"/>
    <d v="2025-01-15T00:00:00"/>
  </r>
  <r>
    <s v="ORD00199"/>
    <x v="154"/>
    <x v="2"/>
    <s v="West Bengal"/>
    <x v="5"/>
    <s v="XYZ Ltd"/>
    <s v="Electronics"/>
    <s v="Laptop"/>
    <n v="9"/>
    <n v="55000"/>
    <n v="0"/>
    <n v="495000"/>
    <n v="378859.53"/>
    <n v="116140.47"/>
    <s v="Cash"/>
    <d v="2025-05-01T00:00:00"/>
  </r>
  <r>
    <s v="ORD00200"/>
    <x v="17"/>
    <x v="3"/>
    <s v="Telangana"/>
    <x v="4"/>
    <s v="ABC Pvt Ltd"/>
    <s v="Accessories"/>
    <s v="Mouse"/>
    <n v="1"/>
    <n v="800"/>
    <n v="10"/>
    <n v="720"/>
    <n v="616.15"/>
    <n v="103.85"/>
    <s v="Net Banking"/>
    <d v="2025-05-17T00:00:00"/>
  </r>
  <r>
    <s v="ORD00201"/>
    <x v="155"/>
    <x v="3"/>
    <s v="Telangana"/>
    <x v="5"/>
    <s v="Prime Stores"/>
    <s v="Accessories"/>
    <s v="Mouse"/>
    <n v="4"/>
    <n v="800"/>
    <n v="0"/>
    <n v="3200"/>
    <n v="2840.93"/>
    <n v="359.07"/>
    <s v="UPI"/>
    <d v="2025-06-16T00:00:00"/>
  </r>
  <r>
    <s v="ORD00202"/>
    <x v="156"/>
    <x v="1"/>
    <s v="Punjab"/>
    <x v="0"/>
    <s v="Vision Corp"/>
    <s v="Accessories"/>
    <s v="USB Drive"/>
    <n v="9"/>
    <n v="900"/>
    <n v="0"/>
    <n v="8100"/>
    <n v="5836.75"/>
    <n v="2263.25"/>
    <s v="Net Banking"/>
    <d v="2025-06-15T00:00:00"/>
  </r>
  <r>
    <s v="ORD00203"/>
    <x v="157"/>
    <x v="1"/>
    <s v="Haryana"/>
    <x v="5"/>
    <s v="XYZ Ltd"/>
    <s v="Accessories"/>
    <s v="Headset"/>
    <n v="2"/>
    <n v="2500"/>
    <n v="0"/>
    <n v="5000"/>
    <n v="4466.9399999999996"/>
    <n v="533.05999999999995"/>
    <s v="Net Banking"/>
    <d v="2025-01-19T00:00:00"/>
  </r>
  <r>
    <s v="ORD00204"/>
    <x v="158"/>
    <x v="2"/>
    <s v="West Bengal"/>
    <x v="2"/>
    <s v="Vision Corp"/>
    <s v="Furniture"/>
    <s v="Office Chair"/>
    <n v="4"/>
    <n v="6000"/>
    <n v="15"/>
    <n v="20400"/>
    <n v="13980.66"/>
    <n v="6419.34"/>
    <s v="Card"/>
    <d v="2025-11-08T00:00:00"/>
  </r>
  <r>
    <s v="ORD00205"/>
    <x v="159"/>
    <x v="3"/>
    <s v="Telangana"/>
    <x v="5"/>
    <s v="ABC Pvt Ltd"/>
    <s v="Accessories"/>
    <s v="Mouse"/>
    <n v="1"/>
    <n v="800"/>
    <n v="10"/>
    <n v="720"/>
    <n v="596.83000000000004"/>
    <n v="123.17"/>
    <s v="Net Banking"/>
    <d v="2025-08-05T00:00:00"/>
  </r>
  <r>
    <s v="ORD00206"/>
    <x v="15"/>
    <x v="1"/>
    <s v="Punjab"/>
    <x v="3"/>
    <s v="Vision Corp"/>
    <s v="Accessories"/>
    <s v="Mouse"/>
    <n v="1"/>
    <n v="800"/>
    <n v="15"/>
    <n v="680"/>
    <n v="446.78"/>
    <n v="233.22"/>
    <s v="Net Banking"/>
    <d v="2025-07-03T00:00:00"/>
  </r>
  <r>
    <s v="ORD00207"/>
    <x v="128"/>
    <x v="1"/>
    <s v="Delhi"/>
    <x v="5"/>
    <s v="Global Mart"/>
    <s v="Furniture"/>
    <s v="Office Chair"/>
    <n v="10"/>
    <n v="6000"/>
    <n v="15"/>
    <n v="51000"/>
    <n v="34178.85"/>
    <n v="16821.150000000001"/>
    <s v="Net Banking"/>
    <d v="2025-12-27T00:00:00"/>
  </r>
  <r>
    <s v="ORD00208"/>
    <x v="120"/>
    <x v="2"/>
    <s v="West Bengal"/>
    <x v="3"/>
    <s v="Vision Corp"/>
    <s v="Furniture"/>
    <s v="Office Chair"/>
    <n v="7"/>
    <n v="6000"/>
    <n v="10"/>
    <n v="37800"/>
    <n v="24888.44"/>
    <n v="12911.56"/>
    <s v="Net Banking"/>
    <d v="2025-05-05T00:00:00"/>
  </r>
  <r>
    <s v="ORD00209"/>
    <x v="113"/>
    <x v="2"/>
    <s v="West Bengal"/>
    <x v="3"/>
    <s v="Tech Solutions"/>
    <s v="Furniture"/>
    <s v="Office Chair"/>
    <n v="6"/>
    <n v="6000"/>
    <n v="10"/>
    <n v="32400"/>
    <n v="25442"/>
    <n v="6958"/>
    <s v="Card"/>
    <d v="2025-05-11T00:00:00"/>
  </r>
  <r>
    <s v="ORD00210"/>
    <x v="160"/>
    <x v="1"/>
    <s v="Punjab"/>
    <x v="4"/>
    <s v="Prime Stores"/>
    <s v="Furniture"/>
    <s v="Office Chair"/>
    <n v="8"/>
    <n v="6000"/>
    <n v="10"/>
    <n v="43200"/>
    <n v="32975.379999999997"/>
    <n v="10224.620000000001"/>
    <s v="Cash"/>
    <d v="2025-03-13T00:00:00"/>
  </r>
  <r>
    <s v="ORD00211"/>
    <x v="161"/>
    <x v="3"/>
    <s v="Tamil Nadu"/>
    <x v="3"/>
    <s v="Prime Stores"/>
    <s v="Electronics"/>
    <s v="Keyboard"/>
    <n v="1"/>
    <n v="1500"/>
    <n v="0"/>
    <n v="1500"/>
    <n v="1292.21"/>
    <n v="207.79"/>
    <s v="UPI"/>
    <d v="2025-09-05T00:00:00"/>
  </r>
  <r>
    <s v="ORD00212"/>
    <x v="162"/>
    <x v="3"/>
    <s v="Telangana"/>
    <x v="3"/>
    <s v="Vision Corp"/>
    <s v="Electronics"/>
    <s v="Keyboard"/>
    <n v="4"/>
    <n v="1500"/>
    <n v="0"/>
    <n v="6000"/>
    <n v="4607.08"/>
    <n v="1392.92"/>
    <s v="Cash"/>
    <d v="2025-06-14T00:00:00"/>
  </r>
  <r>
    <s v="ORD00213"/>
    <x v="163"/>
    <x v="1"/>
    <s v="Haryana"/>
    <x v="0"/>
    <s v="Tech Solutions"/>
    <s v="Accessories"/>
    <s v="Headset"/>
    <n v="8"/>
    <n v="2500"/>
    <n v="5"/>
    <n v="19000"/>
    <n v="14732.84"/>
    <n v="4267.16"/>
    <s v="Card"/>
    <d v="2025-04-05T00:00:00"/>
  </r>
  <r>
    <s v="ORD00214"/>
    <x v="164"/>
    <x v="2"/>
    <s v="West Bengal"/>
    <x v="3"/>
    <s v="ABC Pvt Ltd"/>
    <s v="Furniture"/>
    <s v="Desk"/>
    <n v="9"/>
    <n v="10000"/>
    <n v="0"/>
    <n v="90000"/>
    <n v="68955.13"/>
    <n v="21044.87"/>
    <s v="Cash"/>
    <d v="2025-12-11T00:00:00"/>
  </r>
  <r>
    <s v="ORD00215"/>
    <x v="165"/>
    <x v="2"/>
    <s v="Odisha"/>
    <x v="3"/>
    <s v="ABC Pvt Ltd"/>
    <s v="Electronics"/>
    <s v="Keyboard"/>
    <n v="10"/>
    <n v="1500"/>
    <n v="0"/>
    <n v="15000"/>
    <n v="9974.5499999999993"/>
    <n v="5025.45"/>
    <s v="Card"/>
    <d v="2025-01-21T00:00:00"/>
  </r>
  <r>
    <s v="ORD00216"/>
    <x v="157"/>
    <x v="1"/>
    <s v="Delhi"/>
    <x v="5"/>
    <s v="Tech Solutions"/>
    <s v="Electronics"/>
    <s v="Laptop"/>
    <n v="7"/>
    <n v="55000"/>
    <n v="15"/>
    <n v="327250"/>
    <n v="235161.60000000001"/>
    <n v="92088.4"/>
    <s v="Cash"/>
    <d v="2025-01-19T00:00:00"/>
  </r>
  <r>
    <s v="ORD00217"/>
    <x v="58"/>
    <x v="3"/>
    <s v="Tamil Nadu"/>
    <x v="0"/>
    <s v="Vision Corp"/>
    <s v="Electronics"/>
    <s v="Monitor"/>
    <n v="5"/>
    <n v="12000"/>
    <n v="15"/>
    <n v="51000"/>
    <n v="38161.599999999999"/>
    <n v="12838.4"/>
    <s v="UPI"/>
    <d v="2025-03-12T00:00:00"/>
  </r>
  <r>
    <s v="ORD00218"/>
    <x v="94"/>
    <x v="2"/>
    <s v="Odisha"/>
    <x v="1"/>
    <s v="Tech Solutions"/>
    <s v="Accessories"/>
    <s v="Headset"/>
    <n v="6"/>
    <n v="2500"/>
    <n v="10"/>
    <n v="13500"/>
    <n v="10758.76"/>
    <n v="2741.24"/>
    <s v="Net Banking"/>
    <d v="2025-12-24T00:00:00"/>
  </r>
  <r>
    <s v="ORD00219"/>
    <x v="162"/>
    <x v="0"/>
    <s v="Gujarat"/>
    <x v="5"/>
    <s v="Vision Corp"/>
    <s v="Electronics"/>
    <s v="Monitor"/>
    <n v="2"/>
    <n v="12000"/>
    <n v="5"/>
    <n v="22800"/>
    <n v="16526.29"/>
    <n v="6273.71"/>
    <s v="UPI"/>
    <d v="2025-06-14T00:00:00"/>
  </r>
  <r>
    <s v="ORD00220"/>
    <x v="117"/>
    <x v="0"/>
    <s v="Maharashtra"/>
    <x v="3"/>
    <s v="XYZ Ltd"/>
    <s v="Electronics"/>
    <s v="Monitor"/>
    <n v="10"/>
    <n v="12000"/>
    <n v="5"/>
    <n v="114000"/>
    <n v="90350.69"/>
    <n v="23649.31"/>
    <s v="Net Banking"/>
    <d v="2025-07-28T00:00:00"/>
  </r>
  <r>
    <s v="ORD00221"/>
    <x v="11"/>
    <x v="3"/>
    <s v="Telangana"/>
    <x v="0"/>
    <s v="ABC Pvt Ltd"/>
    <s v="Electronics"/>
    <s v="Monitor"/>
    <n v="6"/>
    <n v="12000"/>
    <n v="10"/>
    <n v="64800"/>
    <n v="48988.93"/>
    <n v="15811.07"/>
    <s v="Net Banking"/>
    <d v="2025-02-20T00:00:00"/>
  </r>
  <r>
    <s v="ORD00222"/>
    <x v="166"/>
    <x v="2"/>
    <s v="Odisha"/>
    <x v="5"/>
    <s v="Prime Stores"/>
    <s v="Electronics"/>
    <s v="Laptop"/>
    <n v="7"/>
    <n v="55000"/>
    <n v="0"/>
    <n v="385000"/>
    <n v="336331.91"/>
    <n v="48668.09"/>
    <s v="Card"/>
    <d v="2025-07-25T00:00:00"/>
  </r>
  <r>
    <s v="ORD00223"/>
    <x v="102"/>
    <x v="2"/>
    <s v="Odisha"/>
    <x v="5"/>
    <s v="Vision Corp"/>
    <s v="Electronics"/>
    <s v="Laptop"/>
    <n v="7"/>
    <n v="55000"/>
    <n v="0"/>
    <n v="385000"/>
    <n v="282499.12"/>
    <n v="102500.88"/>
    <s v="UPI"/>
    <d v="2025-05-22T00:00:00"/>
  </r>
  <r>
    <s v="ORD00224"/>
    <x v="167"/>
    <x v="1"/>
    <s v="Punjab"/>
    <x v="4"/>
    <s v="Tech Solutions"/>
    <s v="Accessories"/>
    <s v="Headset"/>
    <n v="7"/>
    <n v="2500"/>
    <n v="15"/>
    <n v="14875"/>
    <n v="11565.6"/>
    <n v="3309.4"/>
    <s v="UPI"/>
    <d v="2025-12-09T00:00:00"/>
  </r>
  <r>
    <s v="ORD00225"/>
    <x v="136"/>
    <x v="1"/>
    <s v="Punjab"/>
    <x v="0"/>
    <s v="Tech Solutions"/>
    <s v="Accessories"/>
    <s v="Headset"/>
    <n v="3"/>
    <n v="2500"/>
    <n v="5"/>
    <n v="7125"/>
    <n v="5217.5600000000004"/>
    <n v="1907.44"/>
    <s v="Card"/>
    <d v="2025-04-25T00:00:00"/>
  </r>
  <r>
    <s v="ORD00226"/>
    <x v="168"/>
    <x v="3"/>
    <s v="Karnataka"/>
    <x v="1"/>
    <s v="Global Mart"/>
    <s v="Furniture"/>
    <s v="Desk"/>
    <n v="9"/>
    <n v="10000"/>
    <n v="5"/>
    <n v="85500"/>
    <n v="58305.57"/>
    <n v="27194.43"/>
    <s v="UPI"/>
    <d v="2025-02-23T00:00:00"/>
  </r>
  <r>
    <s v="ORD00227"/>
    <x v="169"/>
    <x v="1"/>
    <s v="Punjab"/>
    <x v="3"/>
    <s v="ABC Pvt Ltd"/>
    <s v="Electronics"/>
    <s v="Keyboard"/>
    <n v="2"/>
    <n v="1500"/>
    <n v="0"/>
    <n v="3000"/>
    <n v="2076.4899999999998"/>
    <n v="923.51"/>
    <s v="Card"/>
    <d v="2025-01-29T00:00:00"/>
  </r>
  <r>
    <s v="ORD00228"/>
    <x v="170"/>
    <x v="0"/>
    <s v="Gujarat"/>
    <x v="3"/>
    <s v="XYZ Ltd"/>
    <s v="Electronics"/>
    <s v="Keyboard"/>
    <n v="4"/>
    <n v="1500"/>
    <n v="15"/>
    <n v="5100"/>
    <n v="4231.3100000000004"/>
    <n v="868.69"/>
    <s v="UPI"/>
    <d v="2025-06-21T00:00:00"/>
  </r>
  <r>
    <s v="ORD00229"/>
    <x v="147"/>
    <x v="1"/>
    <s v="Haryana"/>
    <x v="0"/>
    <s v="Tech Solutions"/>
    <s v="Furniture"/>
    <s v="Desk"/>
    <n v="4"/>
    <n v="10000"/>
    <n v="0"/>
    <n v="40000"/>
    <n v="29309.73"/>
    <n v="10690.27"/>
    <s v="Net Banking"/>
    <d v="2025-02-22T00:00:00"/>
  </r>
  <r>
    <s v="ORD00230"/>
    <x v="93"/>
    <x v="2"/>
    <s v="Odisha"/>
    <x v="3"/>
    <s v="Global Mart"/>
    <s v="Furniture"/>
    <s v="Desk"/>
    <n v="8"/>
    <n v="10000"/>
    <n v="15"/>
    <n v="68000"/>
    <n v="52196.07"/>
    <n v="15803.93"/>
    <s v="Card"/>
    <d v="2025-12-05T00:00:00"/>
  </r>
  <r>
    <s v="ORD00231"/>
    <x v="59"/>
    <x v="1"/>
    <s v="Punjab"/>
    <x v="2"/>
    <s v="ABC Pvt Ltd"/>
    <s v="Accessories"/>
    <s v="USB Drive"/>
    <n v="4"/>
    <n v="900"/>
    <n v="0"/>
    <n v="3600"/>
    <n v="2372.5700000000002"/>
    <n v="1227.43"/>
    <s v="UPI"/>
    <d v="2025-02-08T00:00:00"/>
  </r>
  <r>
    <s v="ORD00232"/>
    <x v="37"/>
    <x v="2"/>
    <s v="Odisha"/>
    <x v="0"/>
    <s v="Tech Solutions"/>
    <s v="Furniture"/>
    <s v="Desk"/>
    <n v="1"/>
    <n v="10000"/>
    <n v="0"/>
    <n v="10000"/>
    <n v="6772.06"/>
    <n v="3227.94"/>
    <s v="UPI"/>
    <d v="2025-04-18T00:00:00"/>
  </r>
  <r>
    <s v="ORD00233"/>
    <x v="171"/>
    <x v="3"/>
    <s v="Telangana"/>
    <x v="1"/>
    <s v="Prime Stores"/>
    <s v="Electronics"/>
    <s v="Monitor"/>
    <n v="3"/>
    <n v="12000"/>
    <n v="5"/>
    <n v="34200"/>
    <n v="25733.65"/>
    <n v="8466.35"/>
    <s v="UPI"/>
    <d v="2025-02-09T00:00:00"/>
  </r>
  <r>
    <s v="ORD00234"/>
    <x v="172"/>
    <x v="0"/>
    <s v="Maharashtra"/>
    <x v="1"/>
    <s v="Vision Corp"/>
    <s v="Electronics"/>
    <s v="Monitor"/>
    <n v="10"/>
    <n v="12000"/>
    <n v="15"/>
    <n v="102000"/>
    <n v="85807.19"/>
    <n v="16192.81"/>
    <s v="Cash"/>
    <d v="2025-06-11T00:00:00"/>
  </r>
  <r>
    <s v="ORD00235"/>
    <x v="13"/>
    <x v="3"/>
    <s v="Telangana"/>
    <x v="5"/>
    <s v="XYZ Ltd"/>
    <s v="Accessories"/>
    <s v="Headset"/>
    <n v="4"/>
    <n v="2500"/>
    <n v="0"/>
    <n v="10000"/>
    <n v="7571.84"/>
    <n v="2428.16"/>
    <s v="Cash"/>
    <d v="2025-01-30T00:00:00"/>
  </r>
  <r>
    <s v="ORD00236"/>
    <x v="134"/>
    <x v="1"/>
    <s v="Delhi"/>
    <x v="1"/>
    <s v="ABC Pvt Ltd"/>
    <s v="Electronics"/>
    <s v="Laptop"/>
    <n v="8"/>
    <n v="55000"/>
    <n v="5"/>
    <n v="418000"/>
    <n v="357589.37"/>
    <n v="60410.63"/>
    <s v="Net Banking"/>
    <d v="2025-11-03T00:00:00"/>
  </r>
  <r>
    <s v="ORD00237"/>
    <x v="173"/>
    <x v="3"/>
    <s v="Telangana"/>
    <x v="5"/>
    <s v="ABC Pvt Ltd"/>
    <s v="Accessories"/>
    <s v="Mouse"/>
    <n v="3"/>
    <n v="800"/>
    <n v="15"/>
    <n v="2040"/>
    <n v="1588.68"/>
    <n v="451.32"/>
    <s v="Card"/>
    <d v="2025-03-02T00:00:00"/>
  </r>
  <r>
    <s v="ORD00238"/>
    <x v="174"/>
    <x v="1"/>
    <s v="Punjab"/>
    <x v="1"/>
    <s v="Tech Solutions"/>
    <s v="Accessories"/>
    <s v="USB Drive"/>
    <n v="4"/>
    <n v="900"/>
    <n v="10"/>
    <n v="3240"/>
    <n v="2473.83"/>
    <n v="766.17"/>
    <s v="Card"/>
    <d v="2025-08-04T00:00:00"/>
  </r>
  <r>
    <s v="ORD00239"/>
    <x v="175"/>
    <x v="2"/>
    <s v="West Bengal"/>
    <x v="1"/>
    <s v="XYZ Ltd"/>
    <s v="Accessories"/>
    <s v="USB Drive"/>
    <n v="10"/>
    <n v="900"/>
    <n v="15"/>
    <n v="7650"/>
    <n v="5372.48"/>
    <n v="2277.52"/>
    <s v="Card"/>
    <d v="2025-01-12T00:00:00"/>
  </r>
  <r>
    <s v="ORD00240"/>
    <x v="176"/>
    <x v="0"/>
    <s v="Maharashtra"/>
    <x v="3"/>
    <s v="ABC Pvt Ltd"/>
    <s v="Furniture"/>
    <s v="Desk"/>
    <n v="10"/>
    <n v="10000"/>
    <n v="5"/>
    <n v="95000"/>
    <n v="70972"/>
    <n v="24028"/>
    <s v="Cash"/>
    <d v="2025-03-27T00:00:00"/>
  </r>
  <r>
    <s v="ORD00241"/>
    <x v="128"/>
    <x v="2"/>
    <s v="West Bengal"/>
    <x v="2"/>
    <s v="ABC Pvt Ltd"/>
    <s v="Furniture"/>
    <s v="Office Chair"/>
    <n v="6"/>
    <n v="6000"/>
    <n v="5"/>
    <n v="34200"/>
    <n v="24129.4"/>
    <n v="10070.6"/>
    <s v="Card"/>
    <d v="2025-12-27T00:00:00"/>
  </r>
  <r>
    <s v="ORD00242"/>
    <x v="177"/>
    <x v="2"/>
    <s v="West Bengal"/>
    <x v="2"/>
    <s v="Global Mart"/>
    <s v="Accessories"/>
    <s v="Headset"/>
    <n v="8"/>
    <n v="2500"/>
    <n v="10"/>
    <n v="18000"/>
    <n v="15146"/>
    <n v="2854"/>
    <s v="UPI"/>
    <d v="2025-07-16T00:00:00"/>
  </r>
  <r>
    <s v="ORD00243"/>
    <x v="178"/>
    <x v="2"/>
    <s v="Odisha"/>
    <x v="1"/>
    <s v="Tech Solutions"/>
    <s v="Furniture"/>
    <s v="Desk"/>
    <n v="10"/>
    <n v="10000"/>
    <n v="15"/>
    <n v="85000"/>
    <n v="72913.69"/>
    <n v="12086.31"/>
    <s v="Cash"/>
    <d v="2025-12-23T00:00:00"/>
  </r>
  <r>
    <s v="ORD00244"/>
    <x v="179"/>
    <x v="2"/>
    <s v="Odisha"/>
    <x v="5"/>
    <s v="Global Mart"/>
    <s v="Furniture"/>
    <s v="Office Chair"/>
    <n v="8"/>
    <n v="6000"/>
    <n v="15"/>
    <n v="40800"/>
    <n v="36122.050000000003"/>
    <n v="4677.95"/>
    <s v="Cash"/>
    <d v="2025-05-25T00:00:00"/>
  </r>
  <r>
    <s v="ORD00245"/>
    <x v="180"/>
    <x v="2"/>
    <s v="West Bengal"/>
    <x v="5"/>
    <s v="Prime Stores"/>
    <s v="Electronics"/>
    <s v="Monitor"/>
    <n v="3"/>
    <n v="12000"/>
    <n v="0"/>
    <n v="36000"/>
    <n v="24960.43"/>
    <n v="11039.57"/>
    <s v="Cash"/>
    <d v="2025-04-23T00:00:00"/>
  </r>
  <r>
    <s v="ORD00246"/>
    <x v="58"/>
    <x v="3"/>
    <s v="Telangana"/>
    <x v="3"/>
    <s v="ABC Pvt Ltd"/>
    <s v="Electronics"/>
    <s v="Laptop"/>
    <n v="1"/>
    <n v="55000"/>
    <n v="0"/>
    <n v="55000"/>
    <n v="36319.53"/>
    <n v="18680.47"/>
    <s v="Net Banking"/>
    <d v="2025-03-12T00:00:00"/>
  </r>
  <r>
    <s v="ORD00247"/>
    <x v="96"/>
    <x v="3"/>
    <s v="Karnataka"/>
    <x v="5"/>
    <s v="Tech Solutions"/>
    <s v="Electronics"/>
    <s v="Laptop"/>
    <n v="6"/>
    <n v="55000"/>
    <n v="0"/>
    <n v="330000"/>
    <n v="224855.47"/>
    <n v="105144.53"/>
    <s v="Net Banking"/>
    <d v="2025-11-28T00:00:00"/>
  </r>
  <r>
    <s v="ORD00248"/>
    <x v="181"/>
    <x v="2"/>
    <s v="West Bengal"/>
    <x v="1"/>
    <s v="Vision Corp"/>
    <s v="Furniture"/>
    <s v="Office Chair"/>
    <n v="2"/>
    <n v="6000"/>
    <n v="5"/>
    <n v="11400"/>
    <n v="7587.73"/>
    <n v="3812.27"/>
    <s v="UPI"/>
    <d v="2025-10-06T00:00:00"/>
  </r>
  <r>
    <s v="ORD00249"/>
    <x v="182"/>
    <x v="3"/>
    <s v="Karnataka"/>
    <x v="5"/>
    <s v="Prime Stores"/>
    <s v="Furniture"/>
    <s v="Desk"/>
    <n v="3"/>
    <n v="10000"/>
    <n v="0"/>
    <n v="30000"/>
    <n v="20570.21"/>
    <n v="9429.7900000000009"/>
    <s v="Card"/>
    <d v="2025-04-04T00:00:00"/>
  </r>
  <r>
    <s v="ORD00250"/>
    <x v="92"/>
    <x v="1"/>
    <s v="Haryana"/>
    <x v="5"/>
    <s v="ABC Pvt Ltd"/>
    <s v="Furniture"/>
    <s v="Desk"/>
    <n v="1"/>
    <n v="10000"/>
    <n v="5"/>
    <n v="9500"/>
    <n v="7011.46"/>
    <n v="2488.54"/>
    <s v="Cash"/>
    <d v="2025-05-14T00:00:00"/>
  </r>
  <r>
    <s v="ORD00251"/>
    <x v="183"/>
    <x v="1"/>
    <s v="Punjab"/>
    <x v="3"/>
    <s v="ABC Pvt Ltd"/>
    <s v="Electronics"/>
    <s v="Monitor"/>
    <n v="2"/>
    <n v="12000"/>
    <n v="10"/>
    <n v="21600"/>
    <n v="17812.689999999999"/>
    <n v="3787.31"/>
    <s v="Card"/>
    <d v="2025-05-31T00:00:00"/>
  </r>
  <r>
    <s v="ORD00252"/>
    <x v="3"/>
    <x v="3"/>
    <s v="Karnataka"/>
    <x v="2"/>
    <s v="Prime Stores"/>
    <s v="Furniture"/>
    <s v="Office Chair"/>
    <n v="8"/>
    <n v="6000"/>
    <n v="5"/>
    <n v="45600"/>
    <n v="31213.5"/>
    <n v="14386.5"/>
    <s v="Cash"/>
    <d v="2025-05-28T00:00:00"/>
  </r>
  <r>
    <s v="ORD00253"/>
    <x v="26"/>
    <x v="0"/>
    <s v="Gujarat"/>
    <x v="4"/>
    <s v="XYZ Ltd"/>
    <s v="Furniture"/>
    <s v="Office Chair"/>
    <n v="6"/>
    <n v="6000"/>
    <n v="5"/>
    <n v="34200"/>
    <n v="25729.9"/>
    <n v="8470.1"/>
    <s v="UPI"/>
    <d v="2025-06-30T00:00:00"/>
  </r>
  <r>
    <s v="ORD00254"/>
    <x v="73"/>
    <x v="1"/>
    <s v="Delhi"/>
    <x v="4"/>
    <s v="Prime Stores"/>
    <s v="Electronics"/>
    <s v="Monitor"/>
    <n v="5"/>
    <n v="12000"/>
    <n v="0"/>
    <n v="60000"/>
    <n v="43259.46"/>
    <n v="16740.54"/>
    <s v="Net Banking"/>
    <d v="2025-03-15T00:00:00"/>
  </r>
  <r>
    <s v="ORD00255"/>
    <x v="184"/>
    <x v="1"/>
    <s v="Haryana"/>
    <x v="2"/>
    <s v="XYZ Ltd"/>
    <s v="Accessories"/>
    <s v="Mouse"/>
    <n v="9"/>
    <n v="800"/>
    <n v="0"/>
    <n v="7200"/>
    <n v="5112.6400000000003"/>
    <n v="2087.36"/>
    <s v="UPI"/>
    <d v="2025-02-03T00:00:00"/>
  </r>
  <r>
    <s v="ORD00256"/>
    <x v="180"/>
    <x v="2"/>
    <s v="Odisha"/>
    <x v="1"/>
    <s v="Global Mart"/>
    <s v="Electronics"/>
    <s v="Keyboard"/>
    <n v="2"/>
    <n v="1500"/>
    <n v="5"/>
    <n v="2850"/>
    <n v="1942"/>
    <n v="908"/>
    <s v="Net Banking"/>
    <d v="2025-04-23T00:00:00"/>
  </r>
  <r>
    <s v="ORD00257"/>
    <x v="32"/>
    <x v="1"/>
    <s v="Haryana"/>
    <x v="0"/>
    <s v="Vision Corp"/>
    <s v="Furniture"/>
    <s v="Office Chair"/>
    <n v="10"/>
    <n v="6000"/>
    <n v="5"/>
    <n v="57000"/>
    <n v="42727.95"/>
    <n v="14272.05"/>
    <s v="UPI"/>
    <d v="2025-08-31T00:00:00"/>
  </r>
  <r>
    <s v="ORD00258"/>
    <x v="3"/>
    <x v="2"/>
    <s v="West Bengal"/>
    <x v="3"/>
    <s v="Tech Solutions"/>
    <s v="Electronics"/>
    <s v="Monitor"/>
    <n v="1"/>
    <n v="12000"/>
    <n v="15"/>
    <n v="10200"/>
    <n v="6987.74"/>
    <n v="3212.26"/>
    <s v="Cash"/>
    <d v="2025-05-28T00:00:00"/>
  </r>
  <r>
    <s v="ORD00259"/>
    <x v="150"/>
    <x v="3"/>
    <s v="Telangana"/>
    <x v="1"/>
    <s v="Global Mart"/>
    <s v="Furniture"/>
    <s v="Office Chair"/>
    <n v="4"/>
    <n v="6000"/>
    <n v="15"/>
    <n v="20400"/>
    <n v="17399.169999999998"/>
    <n v="3000.83"/>
    <s v="UPI"/>
    <d v="2025-08-29T00:00:00"/>
  </r>
  <r>
    <s v="ORD00260"/>
    <x v="99"/>
    <x v="0"/>
    <s v="Maharashtra"/>
    <x v="4"/>
    <s v="XYZ Ltd"/>
    <s v="Furniture"/>
    <s v="Office Chair"/>
    <n v="10"/>
    <n v="6000"/>
    <n v="5"/>
    <n v="57000"/>
    <n v="44575.72"/>
    <n v="12424.28"/>
    <s v="Net Banking"/>
    <d v="2025-05-15T00:00:00"/>
  </r>
  <r>
    <s v="ORD00261"/>
    <x v="185"/>
    <x v="3"/>
    <s v="Telangana"/>
    <x v="4"/>
    <s v="XYZ Ltd"/>
    <s v="Accessories"/>
    <s v="Headset"/>
    <n v="7"/>
    <n v="2500"/>
    <n v="10"/>
    <n v="15750"/>
    <n v="11698.38"/>
    <n v="4051.62"/>
    <s v="Cash"/>
    <d v="2025-08-13T00:00:00"/>
  </r>
  <r>
    <s v="ORD00262"/>
    <x v="186"/>
    <x v="0"/>
    <s v="Gujarat"/>
    <x v="1"/>
    <s v="Global Mart"/>
    <s v="Accessories"/>
    <s v="USB Drive"/>
    <n v="8"/>
    <n v="900"/>
    <n v="5"/>
    <n v="6840"/>
    <n v="4951.08"/>
    <n v="1888.92"/>
    <s v="UPI"/>
    <d v="2025-10-26T00:00:00"/>
  </r>
  <r>
    <s v="ORD00263"/>
    <x v="166"/>
    <x v="0"/>
    <s v="Gujarat"/>
    <x v="4"/>
    <s v="Vision Corp"/>
    <s v="Furniture"/>
    <s v="Office Chair"/>
    <n v="1"/>
    <n v="6000"/>
    <n v="0"/>
    <n v="6000"/>
    <n v="4092.28"/>
    <n v="1907.72"/>
    <s v="Cash"/>
    <d v="2025-07-25T00:00:00"/>
  </r>
  <r>
    <s v="ORD00264"/>
    <x v="187"/>
    <x v="3"/>
    <s v="Tamil Nadu"/>
    <x v="3"/>
    <s v="ABC Pvt Ltd"/>
    <s v="Electronics"/>
    <s v="Keyboard"/>
    <n v="3"/>
    <n v="1500"/>
    <n v="15"/>
    <n v="3825"/>
    <n v="2976.36"/>
    <n v="848.64"/>
    <s v="Card"/>
    <d v="2025-05-26T00:00:00"/>
  </r>
  <r>
    <s v="ORD00265"/>
    <x v="171"/>
    <x v="2"/>
    <s v="West Bengal"/>
    <x v="0"/>
    <s v="Tech Solutions"/>
    <s v="Furniture"/>
    <s v="Desk"/>
    <n v="3"/>
    <n v="10000"/>
    <n v="15"/>
    <n v="25500"/>
    <n v="20531.13"/>
    <n v="4968.87"/>
    <s v="Card"/>
    <d v="2025-02-09T00:00:00"/>
  </r>
  <r>
    <s v="ORD00266"/>
    <x v="29"/>
    <x v="0"/>
    <s v="Maharashtra"/>
    <x v="3"/>
    <s v="XYZ Ltd"/>
    <s v="Furniture"/>
    <s v="Desk"/>
    <n v="2"/>
    <n v="10000"/>
    <n v="15"/>
    <n v="17000"/>
    <n v="12660.52"/>
    <n v="4339.4799999999996"/>
    <s v="Cash"/>
    <d v="2025-05-04T00:00:00"/>
  </r>
  <r>
    <s v="ORD00267"/>
    <x v="188"/>
    <x v="3"/>
    <s v="Tamil Nadu"/>
    <x v="1"/>
    <s v="XYZ Ltd"/>
    <s v="Accessories"/>
    <s v="Headset"/>
    <n v="4"/>
    <n v="2500"/>
    <n v="0"/>
    <n v="10000"/>
    <n v="7335.84"/>
    <n v="2664.16"/>
    <s v="Net Banking"/>
    <d v="2025-08-09T00:00:00"/>
  </r>
  <r>
    <s v="ORD00268"/>
    <x v="189"/>
    <x v="1"/>
    <s v="Haryana"/>
    <x v="5"/>
    <s v="Prime Stores"/>
    <s v="Furniture"/>
    <s v="Office Chair"/>
    <n v="1"/>
    <n v="6000"/>
    <n v="10"/>
    <n v="5400"/>
    <n v="4229.4799999999996"/>
    <n v="1170.52"/>
    <s v="Card"/>
    <d v="2025-12-20T00:00:00"/>
  </r>
  <r>
    <s v="ORD00269"/>
    <x v="148"/>
    <x v="1"/>
    <s v="Haryana"/>
    <x v="3"/>
    <s v="XYZ Ltd"/>
    <s v="Furniture"/>
    <s v="Office Chair"/>
    <n v="10"/>
    <n v="6000"/>
    <n v="5"/>
    <n v="57000"/>
    <n v="50955.78"/>
    <n v="6044.22"/>
    <s v="UPI"/>
    <d v="2025-01-03T00:00:00"/>
  </r>
  <r>
    <s v="ORD00270"/>
    <x v="25"/>
    <x v="3"/>
    <s v="Tamil Nadu"/>
    <x v="1"/>
    <s v="Prime Stores"/>
    <s v="Furniture"/>
    <s v="Office Chair"/>
    <n v="2"/>
    <n v="6000"/>
    <n v="10"/>
    <n v="10800"/>
    <n v="7776.07"/>
    <n v="3023.93"/>
    <s v="Card"/>
    <d v="2025-10-09T00:00:00"/>
  </r>
  <r>
    <s v="ORD00271"/>
    <x v="190"/>
    <x v="2"/>
    <s v="West Bengal"/>
    <x v="2"/>
    <s v="ABC Pvt Ltd"/>
    <s v="Accessories"/>
    <s v="Headset"/>
    <n v="9"/>
    <n v="2500"/>
    <n v="0"/>
    <n v="22500"/>
    <n v="17542.080000000002"/>
    <n v="4957.92"/>
    <s v="Card"/>
    <d v="2025-09-26T00:00:00"/>
  </r>
  <r>
    <s v="ORD00272"/>
    <x v="50"/>
    <x v="3"/>
    <s v="Tamil Nadu"/>
    <x v="0"/>
    <s v="ABC Pvt Ltd"/>
    <s v="Electronics"/>
    <s v="Keyboard"/>
    <n v="6"/>
    <n v="1500"/>
    <n v="5"/>
    <n v="8550"/>
    <n v="5757.28"/>
    <n v="2792.72"/>
    <s v="UPI"/>
    <d v="2025-08-16T00:00:00"/>
  </r>
  <r>
    <s v="ORD00273"/>
    <x v="191"/>
    <x v="0"/>
    <s v="Gujarat"/>
    <x v="2"/>
    <s v="XYZ Ltd"/>
    <s v="Electronics"/>
    <s v="Laptop"/>
    <n v="5"/>
    <n v="55000"/>
    <n v="10"/>
    <n v="247500"/>
    <n v="217769.36"/>
    <n v="29730.639999999999"/>
    <s v="Net Banking"/>
    <d v="2025-08-28T00:00:00"/>
  </r>
  <r>
    <s v="ORD00274"/>
    <x v="18"/>
    <x v="1"/>
    <s v="Haryana"/>
    <x v="5"/>
    <s v="Tech Solutions"/>
    <s v="Furniture"/>
    <s v="Office Chair"/>
    <n v="6"/>
    <n v="6000"/>
    <n v="10"/>
    <n v="32400"/>
    <n v="28918.46"/>
    <n v="3481.54"/>
    <s v="UPI"/>
    <d v="2025-07-19T00:00:00"/>
  </r>
  <r>
    <s v="ORD00275"/>
    <x v="51"/>
    <x v="1"/>
    <s v="Haryana"/>
    <x v="4"/>
    <s v="Global Mart"/>
    <s v="Electronics"/>
    <s v="Keyboard"/>
    <n v="5"/>
    <n v="1500"/>
    <n v="15"/>
    <n v="6375"/>
    <n v="5344.38"/>
    <n v="1030.6199999999999"/>
    <s v="Net Banking"/>
    <d v="2025-03-17T00:00:00"/>
  </r>
  <r>
    <s v="ORD00276"/>
    <x v="18"/>
    <x v="3"/>
    <s v="Karnataka"/>
    <x v="4"/>
    <s v="Tech Solutions"/>
    <s v="Furniture"/>
    <s v="Desk"/>
    <n v="6"/>
    <n v="10000"/>
    <n v="5"/>
    <n v="57000"/>
    <n v="47069.93"/>
    <n v="9930.07"/>
    <s v="Card"/>
    <d v="2025-07-19T00:00:00"/>
  </r>
  <r>
    <s v="ORD00277"/>
    <x v="192"/>
    <x v="0"/>
    <s v="Gujarat"/>
    <x v="4"/>
    <s v="Vision Corp"/>
    <s v="Furniture"/>
    <s v="Office Chair"/>
    <n v="6"/>
    <n v="6000"/>
    <n v="15"/>
    <n v="30600"/>
    <n v="25622.38"/>
    <n v="4977.62"/>
    <s v="Net Banking"/>
    <d v="2025-11-17T00:00:00"/>
  </r>
  <r>
    <s v="ORD00278"/>
    <x v="193"/>
    <x v="0"/>
    <s v="Maharashtra"/>
    <x v="0"/>
    <s v="Vision Corp"/>
    <s v="Furniture"/>
    <s v="Office Chair"/>
    <n v="7"/>
    <n v="6000"/>
    <n v="5"/>
    <n v="39900"/>
    <n v="33612.94"/>
    <n v="6287.06"/>
    <s v="Net Banking"/>
    <d v="2025-12-01T00:00:00"/>
  </r>
  <r>
    <s v="ORD00279"/>
    <x v="20"/>
    <x v="2"/>
    <s v="West Bengal"/>
    <x v="1"/>
    <s v="Tech Solutions"/>
    <s v="Accessories"/>
    <s v="Mouse"/>
    <n v="4"/>
    <n v="800"/>
    <n v="10"/>
    <n v="2880"/>
    <n v="2074.5500000000002"/>
    <n v="805.45"/>
    <s v="Card"/>
    <d v="2025-01-22T00:00:00"/>
  </r>
  <r>
    <s v="ORD00280"/>
    <x v="194"/>
    <x v="2"/>
    <s v="Odisha"/>
    <x v="3"/>
    <s v="Vision Corp"/>
    <s v="Accessories"/>
    <s v="USB Drive"/>
    <n v="6"/>
    <n v="900"/>
    <n v="10"/>
    <n v="4860"/>
    <n v="4361.1000000000004"/>
    <n v="498.9"/>
    <s v="Card"/>
    <d v="2025-04-17T00:00:00"/>
  </r>
  <r>
    <s v="ORD00281"/>
    <x v="195"/>
    <x v="1"/>
    <s v="Delhi"/>
    <x v="1"/>
    <s v="XYZ Ltd"/>
    <s v="Furniture"/>
    <s v="Desk"/>
    <n v="2"/>
    <n v="10000"/>
    <n v="15"/>
    <n v="17000"/>
    <n v="14441.91"/>
    <n v="2558.09"/>
    <s v="UPI"/>
    <d v="2025-10-01T00:00:00"/>
  </r>
  <r>
    <s v="ORD00282"/>
    <x v="63"/>
    <x v="0"/>
    <s v="Gujarat"/>
    <x v="3"/>
    <s v="ABC Pvt Ltd"/>
    <s v="Accessories"/>
    <s v="Mouse"/>
    <n v="2"/>
    <n v="800"/>
    <n v="0"/>
    <n v="1600"/>
    <n v="1198.54"/>
    <n v="401.46"/>
    <s v="Cash"/>
    <d v="2025-09-03T00:00:00"/>
  </r>
  <r>
    <s v="ORD00283"/>
    <x v="150"/>
    <x v="1"/>
    <s v="Haryana"/>
    <x v="0"/>
    <s v="Tech Solutions"/>
    <s v="Accessories"/>
    <s v="USB Drive"/>
    <n v="1"/>
    <n v="900"/>
    <n v="15"/>
    <n v="765"/>
    <n v="520.58000000000004"/>
    <n v="244.42"/>
    <s v="UPI"/>
    <d v="2025-08-29T00:00:00"/>
  </r>
  <r>
    <s v="ORD00284"/>
    <x v="196"/>
    <x v="1"/>
    <s v="Haryana"/>
    <x v="0"/>
    <s v="Prime Stores"/>
    <s v="Electronics"/>
    <s v="Keyboard"/>
    <n v="10"/>
    <n v="1500"/>
    <n v="0"/>
    <n v="15000"/>
    <n v="10592.31"/>
    <n v="4407.6899999999996"/>
    <s v="Net Banking"/>
    <d v="2025-10-24T00:00:00"/>
  </r>
  <r>
    <s v="ORD00285"/>
    <x v="165"/>
    <x v="2"/>
    <s v="West Bengal"/>
    <x v="4"/>
    <s v="ABC Pvt Ltd"/>
    <s v="Accessories"/>
    <s v="USB Drive"/>
    <n v="7"/>
    <n v="900"/>
    <n v="0"/>
    <n v="6300"/>
    <n v="5324.98"/>
    <n v="975.02"/>
    <s v="Cash"/>
    <d v="2025-01-21T00:00:00"/>
  </r>
  <r>
    <s v="ORD00286"/>
    <x v="86"/>
    <x v="0"/>
    <s v="Gujarat"/>
    <x v="3"/>
    <s v="Global Mart"/>
    <s v="Electronics"/>
    <s v="Laptop"/>
    <n v="10"/>
    <n v="55000"/>
    <n v="10"/>
    <n v="495000"/>
    <n v="399656.62"/>
    <n v="95343.38"/>
    <s v="UPI"/>
    <d v="2025-12-10T00:00:00"/>
  </r>
  <r>
    <s v="ORD00287"/>
    <x v="7"/>
    <x v="2"/>
    <s v="West Bengal"/>
    <x v="0"/>
    <s v="Prime Stores"/>
    <s v="Furniture"/>
    <s v="Desk"/>
    <n v="2"/>
    <n v="10000"/>
    <n v="0"/>
    <n v="20000"/>
    <n v="16598.54"/>
    <n v="3401.46"/>
    <s v="UPI"/>
    <d v="2025-03-28T00:00:00"/>
  </r>
  <r>
    <s v="ORD00288"/>
    <x v="197"/>
    <x v="3"/>
    <s v="Tamil Nadu"/>
    <x v="2"/>
    <s v="Global Mart"/>
    <s v="Furniture"/>
    <s v="Office Chair"/>
    <n v="5"/>
    <n v="6000"/>
    <n v="10"/>
    <n v="27000"/>
    <n v="18837.57"/>
    <n v="8162.43"/>
    <s v="Card"/>
    <d v="2025-04-15T00:00:00"/>
  </r>
  <r>
    <s v="ORD00289"/>
    <x v="64"/>
    <x v="0"/>
    <s v="Gujarat"/>
    <x v="4"/>
    <s v="Global Mart"/>
    <s v="Electronics"/>
    <s v="Laptop"/>
    <n v="2"/>
    <n v="55000"/>
    <n v="15"/>
    <n v="93500"/>
    <n v="61654.01"/>
    <n v="31845.99"/>
    <s v="Cash"/>
    <d v="2025-12-30T00:00:00"/>
  </r>
  <r>
    <s v="ORD00290"/>
    <x v="198"/>
    <x v="1"/>
    <s v="Punjab"/>
    <x v="2"/>
    <s v="Global Mart"/>
    <s v="Electronics"/>
    <s v="Monitor"/>
    <n v="7"/>
    <n v="12000"/>
    <n v="0"/>
    <n v="84000"/>
    <n v="71934.789999999994"/>
    <n v="12065.21"/>
    <s v="UPI"/>
    <d v="2025-05-08T00:00:00"/>
  </r>
  <r>
    <s v="ORD00291"/>
    <x v="199"/>
    <x v="3"/>
    <s v="Karnataka"/>
    <x v="0"/>
    <s v="Vision Corp"/>
    <s v="Furniture"/>
    <s v="Office Chair"/>
    <n v="2"/>
    <n v="6000"/>
    <n v="0"/>
    <n v="12000"/>
    <n v="10168.01"/>
    <n v="1831.99"/>
    <s v="Net Banking"/>
    <d v="2025-06-29T00:00:00"/>
  </r>
  <r>
    <s v="ORD00292"/>
    <x v="14"/>
    <x v="0"/>
    <s v="Gujarat"/>
    <x v="5"/>
    <s v="Prime Stores"/>
    <s v="Accessories"/>
    <s v="USB Drive"/>
    <n v="7"/>
    <n v="900"/>
    <n v="0"/>
    <n v="6300"/>
    <n v="4227.2"/>
    <n v="2072.8000000000002"/>
    <s v="Card"/>
    <d v="2025-06-27T00:00:00"/>
  </r>
  <r>
    <s v="ORD00293"/>
    <x v="200"/>
    <x v="2"/>
    <s v="Odisha"/>
    <x v="4"/>
    <s v="Prime Stores"/>
    <s v="Accessories"/>
    <s v="Headset"/>
    <n v="10"/>
    <n v="2500"/>
    <n v="0"/>
    <n v="25000"/>
    <n v="18461.53"/>
    <n v="6538.47"/>
    <s v="UPI"/>
    <d v="2025-09-21T00:00:00"/>
  </r>
  <r>
    <s v="ORD00294"/>
    <x v="37"/>
    <x v="2"/>
    <s v="Odisha"/>
    <x v="2"/>
    <s v="Tech Solutions"/>
    <s v="Furniture"/>
    <s v="Office Chair"/>
    <n v="9"/>
    <n v="6000"/>
    <n v="0"/>
    <n v="54000"/>
    <n v="47752.45"/>
    <n v="6247.55"/>
    <s v="UPI"/>
    <d v="2025-04-18T00:00:00"/>
  </r>
  <r>
    <s v="ORD00295"/>
    <x v="201"/>
    <x v="2"/>
    <s v="West Bengal"/>
    <x v="4"/>
    <s v="ABC Pvt Ltd"/>
    <s v="Accessories"/>
    <s v="Headset"/>
    <n v="3"/>
    <n v="2500"/>
    <n v="10"/>
    <n v="6750"/>
    <n v="6064.47"/>
    <n v="685.53"/>
    <s v="Net Banking"/>
    <d v="2025-12-29T00:00:00"/>
  </r>
  <r>
    <s v="ORD00296"/>
    <x v="202"/>
    <x v="2"/>
    <s v="Odisha"/>
    <x v="0"/>
    <s v="Global Mart"/>
    <s v="Electronics"/>
    <s v="Monitor"/>
    <n v="1"/>
    <n v="12000"/>
    <n v="10"/>
    <n v="10800"/>
    <n v="7095.68"/>
    <n v="3704.32"/>
    <s v="Net Banking"/>
    <d v="2025-03-31T00:00:00"/>
  </r>
  <r>
    <s v="ORD00297"/>
    <x v="181"/>
    <x v="2"/>
    <s v="West Bengal"/>
    <x v="3"/>
    <s v="XYZ Ltd"/>
    <s v="Accessories"/>
    <s v="Headset"/>
    <n v="5"/>
    <n v="2500"/>
    <n v="10"/>
    <n v="11250"/>
    <n v="9563.9599999999991"/>
    <n v="1686.04"/>
    <s v="Net Banking"/>
    <d v="2025-10-06T00:00:00"/>
  </r>
  <r>
    <s v="ORD00298"/>
    <x v="203"/>
    <x v="0"/>
    <s v="Gujarat"/>
    <x v="4"/>
    <s v="XYZ Ltd"/>
    <s v="Furniture"/>
    <s v="Desk"/>
    <n v="10"/>
    <n v="10000"/>
    <n v="15"/>
    <n v="85000"/>
    <n v="75888.3"/>
    <n v="9111.7000000000007"/>
    <s v="Net Banking"/>
    <d v="2025-04-26T00:00:00"/>
  </r>
  <r>
    <s v="ORD00299"/>
    <x v="204"/>
    <x v="3"/>
    <s v="Telangana"/>
    <x v="0"/>
    <s v="XYZ Ltd"/>
    <s v="Electronics"/>
    <s v="Monitor"/>
    <n v="10"/>
    <n v="12000"/>
    <n v="10"/>
    <n v="108000"/>
    <n v="80290.81"/>
    <n v="27709.19"/>
    <s v="Net Banking"/>
    <d v="2025-03-25T00:00:00"/>
  </r>
  <r>
    <s v="ORD00300"/>
    <x v="2"/>
    <x v="0"/>
    <s v="Maharashtra"/>
    <x v="1"/>
    <s v="ABC Pvt Ltd"/>
    <s v="Electronics"/>
    <s v="Monitor"/>
    <n v="1"/>
    <n v="12000"/>
    <n v="15"/>
    <n v="10200"/>
    <n v="8761.7099999999991"/>
    <n v="1438.29"/>
    <s v="Cash"/>
    <d v="2025-09-24T00:00:00"/>
  </r>
  <r>
    <s v="ORD00301"/>
    <x v="45"/>
    <x v="3"/>
    <s v="Karnataka"/>
    <x v="3"/>
    <s v="Tech Solutions"/>
    <s v="Accessories"/>
    <s v="USB Drive"/>
    <n v="1"/>
    <n v="900"/>
    <n v="10"/>
    <n v="810"/>
    <n v="612.66999999999996"/>
    <n v="197.33"/>
    <s v="Cash"/>
    <d v="2025-11-16T00:00:00"/>
  </r>
  <r>
    <s v="ORD00302"/>
    <x v="147"/>
    <x v="3"/>
    <s v="Tamil Nadu"/>
    <x v="4"/>
    <s v="XYZ Ltd"/>
    <s v="Accessories"/>
    <s v="Headset"/>
    <n v="10"/>
    <n v="2500"/>
    <n v="5"/>
    <n v="23750"/>
    <n v="20608.98"/>
    <n v="3141.02"/>
    <s v="UPI"/>
    <d v="2025-02-22T00:00:00"/>
  </r>
  <r>
    <s v="ORD00303"/>
    <x v="188"/>
    <x v="2"/>
    <s v="Odisha"/>
    <x v="5"/>
    <s v="Global Mart"/>
    <s v="Electronics"/>
    <s v="Monitor"/>
    <n v="5"/>
    <n v="12000"/>
    <n v="0"/>
    <n v="60000"/>
    <n v="53507.59"/>
    <n v="6492.41"/>
    <s v="Net Banking"/>
    <d v="2025-08-09T00:00:00"/>
  </r>
  <r>
    <s v="ORD00304"/>
    <x v="138"/>
    <x v="2"/>
    <s v="Odisha"/>
    <x v="4"/>
    <s v="Prime Stores"/>
    <s v="Furniture"/>
    <s v="Desk"/>
    <n v="1"/>
    <n v="10000"/>
    <n v="15"/>
    <n v="8500"/>
    <n v="6862.11"/>
    <n v="1637.89"/>
    <s v="UPI"/>
    <d v="2025-08-03T00:00:00"/>
  </r>
  <r>
    <s v="ORD00305"/>
    <x v="205"/>
    <x v="2"/>
    <s v="West Bengal"/>
    <x v="0"/>
    <s v="Global Mart"/>
    <s v="Furniture"/>
    <s v="Desk"/>
    <n v="5"/>
    <n v="10000"/>
    <n v="0"/>
    <n v="50000"/>
    <n v="36412.559999999998"/>
    <n v="13587.44"/>
    <s v="Card"/>
    <d v="2025-07-09T00:00:00"/>
  </r>
  <r>
    <s v="ORD00306"/>
    <x v="76"/>
    <x v="3"/>
    <s v="Telangana"/>
    <x v="0"/>
    <s v="ABC Pvt Ltd"/>
    <s v="Furniture"/>
    <s v="Desk"/>
    <n v="6"/>
    <n v="10000"/>
    <n v="0"/>
    <n v="60000"/>
    <n v="39481.870000000003"/>
    <n v="20518.13"/>
    <s v="Cash"/>
    <d v="2025-09-10T00:00:00"/>
  </r>
  <r>
    <s v="ORD00307"/>
    <x v="206"/>
    <x v="0"/>
    <s v="Gujarat"/>
    <x v="3"/>
    <s v="XYZ Ltd"/>
    <s v="Accessories"/>
    <s v="USB Drive"/>
    <n v="2"/>
    <n v="900"/>
    <n v="10"/>
    <n v="1620"/>
    <n v="1400.81"/>
    <n v="219.19"/>
    <s v="Card"/>
    <d v="2025-12-07T00:00:00"/>
  </r>
  <r>
    <s v="ORD00308"/>
    <x v="207"/>
    <x v="0"/>
    <s v="Maharashtra"/>
    <x v="3"/>
    <s v="Vision Corp"/>
    <s v="Furniture"/>
    <s v="Office Chair"/>
    <n v="10"/>
    <n v="6000"/>
    <n v="10"/>
    <n v="54000"/>
    <n v="39498.879999999997"/>
    <n v="14501.12"/>
    <s v="Cash"/>
    <d v="2025-06-24T00:00:00"/>
  </r>
  <r>
    <s v="ORD00309"/>
    <x v="44"/>
    <x v="1"/>
    <s v="Haryana"/>
    <x v="1"/>
    <s v="Vision Corp"/>
    <s v="Electronics"/>
    <s v="Keyboard"/>
    <n v="2"/>
    <n v="1500"/>
    <n v="0"/>
    <n v="3000"/>
    <n v="2400.91"/>
    <n v="599.09"/>
    <s v="Cash"/>
    <d v="2025-04-28T00:00:00"/>
  </r>
  <r>
    <s v="ORD00310"/>
    <x v="187"/>
    <x v="0"/>
    <s v="Maharashtra"/>
    <x v="3"/>
    <s v="Tech Solutions"/>
    <s v="Furniture"/>
    <s v="Desk"/>
    <n v="9"/>
    <n v="10000"/>
    <n v="15"/>
    <n v="76500"/>
    <n v="66539.899999999994"/>
    <n v="9960.1"/>
    <s v="UPI"/>
    <d v="2025-05-26T00:00:00"/>
  </r>
  <r>
    <s v="ORD00311"/>
    <x v="208"/>
    <x v="0"/>
    <s v="Maharashtra"/>
    <x v="3"/>
    <s v="Vision Corp"/>
    <s v="Furniture"/>
    <s v="Desk"/>
    <n v="2"/>
    <n v="10000"/>
    <n v="10"/>
    <n v="18000"/>
    <n v="14912.48"/>
    <n v="3087.52"/>
    <s v="Cash"/>
    <d v="2025-04-22T00:00:00"/>
  </r>
  <r>
    <s v="ORD00312"/>
    <x v="68"/>
    <x v="3"/>
    <s v="Tamil Nadu"/>
    <x v="1"/>
    <s v="Global Mart"/>
    <s v="Accessories"/>
    <s v="Headset"/>
    <n v="3"/>
    <n v="2500"/>
    <n v="5"/>
    <n v="7125"/>
    <n v="5376.08"/>
    <n v="1748.92"/>
    <s v="Net Banking"/>
    <d v="2025-05-02T00:00:00"/>
  </r>
  <r>
    <s v="ORD00313"/>
    <x v="53"/>
    <x v="3"/>
    <s v="Tamil Nadu"/>
    <x v="4"/>
    <s v="Tech Solutions"/>
    <s v="Accessories"/>
    <s v="Mouse"/>
    <n v="8"/>
    <n v="800"/>
    <n v="5"/>
    <n v="6080"/>
    <n v="5152.6000000000004"/>
    <n v="927.4"/>
    <s v="Card"/>
    <d v="2025-06-28T00:00:00"/>
  </r>
  <r>
    <s v="ORD00314"/>
    <x v="140"/>
    <x v="0"/>
    <s v="Gujarat"/>
    <x v="1"/>
    <s v="Prime Stores"/>
    <s v="Accessories"/>
    <s v="Headset"/>
    <n v="2"/>
    <n v="2500"/>
    <n v="15"/>
    <n v="4250"/>
    <n v="3679.45"/>
    <n v="570.54999999999995"/>
    <s v="Card"/>
    <d v="2025-01-17T00:00:00"/>
  </r>
  <r>
    <s v="ORD00315"/>
    <x v="209"/>
    <x v="0"/>
    <s v="Gujarat"/>
    <x v="1"/>
    <s v="ABC Pvt Ltd"/>
    <s v="Electronics"/>
    <s v="Keyboard"/>
    <n v="3"/>
    <n v="1500"/>
    <n v="5"/>
    <n v="4275"/>
    <n v="3458.77"/>
    <n v="816.23"/>
    <s v="UPI"/>
    <d v="2025-05-07T00:00:00"/>
  </r>
  <r>
    <s v="ORD00316"/>
    <x v="91"/>
    <x v="0"/>
    <s v="Maharashtra"/>
    <x v="2"/>
    <s v="Prime Stores"/>
    <s v="Furniture"/>
    <s v="Desk"/>
    <n v="7"/>
    <n v="10000"/>
    <n v="15"/>
    <n v="59500"/>
    <n v="45558.15"/>
    <n v="13941.85"/>
    <s v="Net Banking"/>
    <d v="2025-04-09T00:00:00"/>
  </r>
  <r>
    <s v="ORD00317"/>
    <x v="210"/>
    <x v="1"/>
    <s v="Delhi"/>
    <x v="2"/>
    <s v="Prime Stores"/>
    <s v="Accessories"/>
    <s v="Mouse"/>
    <n v="4"/>
    <n v="800"/>
    <n v="5"/>
    <n v="3040"/>
    <n v="2724.62"/>
    <n v="315.38"/>
    <s v="Net Banking"/>
    <d v="2025-10-23T00:00:00"/>
  </r>
  <r>
    <s v="ORD00318"/>
    <x v="211"/>
    <x v="2"/>
    <s v="Odisha"/>
    <x v="2"/>
    <s v="ABC Pvt Ltd"/>
    <s v="Accessories"/>
    <s v="Headset"/>
    <n v="1"/>
    <n v="2500"/>
    <n v="15"/>
    <n v="2125"/>
    <n v="1479.25"/>
    <n v="645.75"/>
    <s v="UPI"/>
    <d v="2025-05-23T00:00:00"/>
  </r>
  <r>
    <s v="ORD00319"/>
    <x v="212"/>
    <x v="1"/>
    <s v="Haryana"/>
    <x v="1"/>
    <s v="XYZ Ltd"/>
    <s v="Electronics"/>
    <s v="Keyboard"/>
    <n v="5"/>
    <n v="1500"/>
    <n v="5"/>
    <n v="7125"/>
    <n v="4846.8"/>
    <n v="2278.1999999999998"/>
    <s v="UPI"/>
    <d v="2025-11-06T00:00:00"/>
  </r>
  <r>
    <s v="ORD00320"/>
    <x v="206"/>
    <x v="1"/>
    <s v="Punjab"/>
    <x v="2"/>
    <s v="Vision Corp"/>
    <s v="Accessories"/>
    <s v="USB Drive"/>
    <n v="7"/>
    <n v="900"/>
    <n v="5"/>
    <n v="5985"/>
    <n v="4267.18"/>
    <n v="1717.82"/>
    <s v="Net Banking"/>
    <d v="2025-12-07T00:00:00"/>
  </r>
  <r>
    <s v="ORD00321"/>
    <x v="213"/>
    <x v="2"/>
    <s v="Odisha"/>
    <x v="0"/>
    <s v="XYZ Ltd"/>
    <s v="Furniture"/>
    <s v="Office Chair"/>
    <n v="8"/>
    <n v="6000"/>
    <n v="15"/>
    <n v="40800"/>
    <n v="26649.360000000001"/>
    <n v="14150.64"/>
    <s v="Net Banking"/>
    <d v="2025-07-04T00:00:00"/>
  </r>
  <r>
    <s v="ORD00322"/>
    <x v="175"/>
    <x v="3"/>
    <s v="Karnataka"/>
    <x v="2"/>
    <s v="Prime Stores"/>
    <s v="Furniture"/>
    <s v="Desk"/>
    <n v="1"/>
    <n v="10000"/>
    <n v="15"/>
    <n v="8500"/>
    <n v="6271.95"/>
    <n v="2228.0500000000002"/>
    <s v="UPI"/>
    <d v="2025-01-12T00:00:00"/>
  </r>
  <r>
    <s v="ORD00323"/>
    <x v="15"/>
    <x v="1"/>
    <s v="Delhi"/>
    <x v="0"/>
    <s v="Tech Solutions"/>
    <s v="Accessories"/>
    <s v="USB Drive"/>
    <n v="1"/>
    <n v="900"/>
    <n v="5"/>
    <n v="855"/>
    <n v="760.81"/>
    <n v="94.19"/>
    <s v="UPI"/>
    <d v="2025-07-03T00:00:00"/>
  </r>
  <r>
    <s v="ORD00324"/>
    <x v="214"/>
    <x v="0"/>
    <s v="Gujarat"/>
    <x v="4"/>
    <s v="Tech Solutions"/>
    <s v="Furniture"/>
    <s v="Office Chair"/>
    <n v="6"/>
    <n v="6000"/>
    <n v="10"/>
    <n v="32400"/>
    <n v="22407.7"/>
    <n v="9992.2999999999993"/>
    <s v="Net Banking"/>
    <d v="2025-03-10T00:00:00"/>
  </r>
  <r>
    <s v="ORD00325"/>
    <x v="215"/>
    <x v="3"/>
    <s v="Telangana"/>
    <x v="0"/>
    <s v="Prime Stores"/>
    <s v="Accessories"/>
    <s v="Mouse"/>
    <n v="1"/>
    <n v="800"/>
    <n v="0"/>
    <n v="800"/>
    <n v="569.20000000000005"/>
    <n v="230.8"/>
    <s v="Net Banking"/>
    <d v="2025-06-09T00:00:00"/>
  </r>
  <r>
    <s v="ORD00326"/>
    <x v="23"/>
    <x v="2"/>
    <s v="West Bengal"/>
    <x v="1"/>
    <s v="XYZ Ltd"/>
    <s v="Electronics"/>
    <s v="Laptop"/>
    <n v="1"/>
    <n v="55000"/>
    <n v="5"/>
    <n v="52250"/>
    <n v="38928.83"/>
    <n v="13321.17"/>
    <s v="UPI"/>
    <d v="2025-02-16T00:00:00"/>
  </r>
  <r>
    <s v="ORD00327"/>
    <x v="188"/>
    <x v="2"/>
    <s v="West Bengal"/>
    <x v="3"/>
    <s v="Prime Stores"/>
    <s v="Furniture"/>
    <s v="Desk"/>
    <n v="2"/>
    <n v="10000"/>
    <n v="15"/>
    <n v="17000"/>
    <n v="11110.8"/>
    <n v="5889.2"/>
    <s v="Cash"/>
    <d v="2025-08-09T00:00:00"/>
  </r>
  <r>
    <s v="ORD00328"/>
    <x v="216"/>
    <x v="3"/>
    <s v="Karnataka"/>
    <x v="1"/>
    <s v="Prime Stores"/>
    <s v="Accessories"/>
    <s v="Mouse"/>
    <n v="1"/>
    <n v="800"/>
    <n v="10"/>
    <n v="720"/>
    <n v="496.77"/>
    <n v="223.23"/>
    <s v="Cash"/>
    <d v="2025-02-19T00:00:00"/>
  </r>
  <r>
    <s v="ORD00329"/>
    <x v="200"/>
    <x v="1"/>
    <s v="Haryana"/>
    <x v="4"/>
    <s v="ABC Pvt Ltd"/>
    <s v="Accessories"/>
    <s v="Headset"/>
    <n v="4"/>
    <n v="2500"/>
    <n v="15"/>
    <n v="8500"/>
    <n v="6506.15"/>
    <n v="1993.85"/>
    <s v="UPI"/>
    <d v="2025-09-21T00:00:00"/>
  </r>
  <r>
    <s v="ORD00330"/>
    <x v="217"/>
    <x v="3"/>
    <s v="Tamil Nadu"/>
    <x v="5"/>
    <s v="Tech Solutions"/>
    <s v="Electronics"/>
    <s v="Keyboard"/>
    <n v="7"/>
    <n v="1500"/>
    <n v="10"/>
    <n v="9450"/>
    <n v="8386.07"/>
    <n v="1063.93"/>
    <s v="Cash"/>
    <d v="2025-03-21T00:00:00"/>
  </r>
  <r>
    <s v="ORD00331"/>
    <x v="218"/>
    <x v="3"/>
    <s v="Karnataka"/>
    <x v="5"/>
    <s v="Tech Solutions"/>
    <s v="Furniture"/>
    <s v="Desk"/>
    <n v="4"/>
    <n v="10000"/>
    <n v="0"/>
    <n v="40000"/>
    <n v="31386.54"/>
    <n v="8613.4599999999991"/>
    <s v="Card"/>
    <d v="2025-03-09T00:00:00"/>
  </r>
  <r>
    <s v="ORD00332"/>
    <x v="219"/>
    <x v="3"/>
    <s v="Karnataka"/>
    <x v="0"/>
    <s v="ABC Pvt Ltd"/>
    <s v="Accessories"/>
    <s v="USB Drive"/>
    <n v="2"/>
    <n v="900"/>
    <n v="10"/>
    <n v="1620"/>
    <n v="1069.1500000000001"/>
    <n v="550.85"/>
    <s v="UPI"/>
    <d v="2025-08-26T00:00:00"/>
  </r>
  <r>
    <s v="ORD00333"/>
    <x v="211"/>
    <x v="3"/>
    <s v="Karnataka"/>
    <x v="2"/>
    <s v="Vision Corp"/>
    <s v="Accessories"/>
    <s v="Headset"/>
    <n v="7"/>
    <n v="2500"/>
    <n v="0"/>
    <n v="17500"/>
    <n v="14501.15"/>
    <n v="2998.85"/>
    <s v="Cash"/>
    <d v="2025-05-23T00:00:00"/>
  </r>
  <r>
    <s v="ORD00334"/>
    <x v="194"/>
    <x v="0"/>
    <s v="Gujarat"/>
    <x v="3"/>
    <s v="Prime Stores"/>
    <s v="Furniture"/>
    <s v="Office Chair"/>
    <n v="4"/>
    <n v="6000"/>
    <n v="5"/>
    <n v="22800"/>
    <n v="19128.810000000001"/>
    <n v="3671.19"/>
    <s v="Net Banking"/>
    <d v="2025-04-17T00:00:00"/>
  </r>
  <r>
    <s v="ORD00335"/>
    <x v="220"/>
    <x v="0"/>
    <s v="Maharashtra"/>
    <x v="1"/>
    <s v="Vision Corp"/>
    <s v="Accessories"/>
    <s v="Mouse"/>
    <n v="4"/>
    <n v="800"/>
    <n v="0"/>
    <n v="3200"/>
    <n v="2182.44"/>
    <n v="1017.56"/>
    <s v="Net Banking"/>
    <d v="2025-02-18T00:00:00"/>
  </r>
  <r>
    <s v="ORD00336"/>
    <x v="221"/>
    <x v="2"/>
    <s v="West Bengal"/>
    <x v="4"/>
    <s v="Prime Stores"/>
    <s v="Accessories"/>
    <s v="Headset"/>
    <n v="3"/>
    <n v="2500"/>
    <n v="15"/>
    <n v="6375"/>
    <n v="5533.06"/>
    <n v="841.94"/>
    <s v="Card"/>
    <d v="2025-06-10T00:00:00"/>
  </r>
  <r>
    <s v="ORD00337"/>
    <x v="222"/>
    <x v="2"/>
    <s v="West Bengal"/>
    <x v="2"/>
    <s v="Vision Corp"/>
    <s v="Furniture"/>
    <s v="Desk"/>
    <n v="5"/>
    <n v="10000"/>
    <n v="5"/>
    <n v="47500"/>
    <n v="40031.480000000003"/>
    <n v="7468.52"/>
    <s v="Cash"/>
    <d v="2025-11-02T00:00:00"/>
  </r>
  <r>
    <s v="ORD00338"/>
    <x v="223"/>
    <x v="0"/>
    <s v="Gujarat"/>
    <x v="1"/>
    <s v="ABC Pvt Ltd"/>
    <s v="Electronics"/>
    <s v="Monitor"/>
    <n v="10"/>
    <n v="12000"/>
    <n v="10"/>
    <n v="108000"/>
    <n v="78116.990000000005"/>
    <n v="29883.01"/>
    <s v="Cash"/>
    <d v="2025-10-08T00:00:00"/>
  </r>
  <r>
    <s v="ORD00339"/>
    <x v="224"/>
    <x v="3"/>
    <s v="Karnataka"/>
    <x v="4"/>
    <s v="Prime Stores"/>
    <s v="Furniture"/>
    <s v="Office Chair"/>
    <n v="6"/>
    <n v="6000"/>
    <n v="15"/>
    <n v="30600"/>
    <n v="27009.7"/>
    <n v="3590.3"/>
    <s v="UPI"/>
    <d v="2025-11-10T00:00:00"/>
  </r>
  <r>
    <s v="ORD00340"/>
    <x v="127"/>
    <x v="2"/>
    <s v="Odisha"/>
    <x v="5"/>
    <s v="Vision Corp"/>
    <s v="Electronics"/>
    <s v="Monitor"/>
    <n v="9"/>
    <n v="12000"/>
    <n v="5"/>
    <n v="102600"/>
    <n v="76139.03"/>
    <n v="26460.97"/>
    <s v="Cash"/>
    <d v="2025-01-14T00:00:00"/>
  </r>
  <r>
    <s v="ORD00341"/>
    <x v="223"/>
    <x v="1"/>
    <s v="Delhi"/>
    <x v="1"/>
    <s v="XYZ Ltd"/>
    <s v="Furniture"/>
    <s v="Desk"/>
    <n v="2"/>
    <n v="10000"/>
    <n v="0"/>
    <n v="20000"/>
    <n v="15275.42"/>
    <n v="4724.58"/>
    <s v="UPI"/>
    <d v="2025-10-08T00:00:00"/>
  </r>
  <r>
    <s v="ORD00342"/>
    <x v="225"/>
    <x v="1"/>
    <s v="Haryana"/>
    <x v="4"/>
    <s v="Vision Corp"/>
    <s v="Electronics"/>
    <s v="Laptop"/>
    <n v="6"/>
    <n v="55000"/>
    <n v="15"/>
    <n v="280500"/>
    <n v="193494.89"/>
    <n v="87005.11"/>
    <s v="Cash"/>
    <d v="2025-07-06T00:00:00"/>
  </r>
  <r>
    <s v="ORD00343"/>
    <x v="17"/>
    <x v="2"/>
    <s v="West Bengal"/>
    <x v="2"/>
    <s v="ABC Pvt Ltd"/>
    <s v="Electronics"/>
    <s v="Keyboard"/>
    <n v="1"/>
    <n v="1500"/>
    <n v="0"/>
    <n v="1500"/>
    <n v="1250.3499999999999"/>
    <n v="249.65"/>
    <s v="UPI"/>
    <d v="2025-05-17T00:00:00"/>
  </r>
  <r>
    <s v="ORD00344"/>
    <x v="157"/>
    <x v="1"/>
    <s v="Delhi"/>
    <x v="4"/>
    <s v="Vision Corp"/>
    <s v="Accessories"/>
    <s v="Mouse"/>
    <n v="6"/>
    <n v="800"/>
    <n v="10"/>
    <n v="4320"/>
    <n v="3557.21"/>
    <n v="762.79"/>
    <s v="Net Banking"/>
    <d v="2025-01-19T00:00:00"/>
  </r>
  <r>
    <s v="ORD00345"/>
    <x v="78"/>
    <x v="0"/>
    <s v="Gujarat"/>
    <x v="3"/>
    <s v="XYZ Ltd"/>
    <s v="Accessories"/>
    <s v="Headset"/>
    <n v="2"/>
    <n v="2500"/>
    <n v="0"/>
    <n v="5000"/>
    <n v="4233.38"/>
    <n v="766.62"/>
    <s v="Card"/>
    <d v="2025-04-13T00:00:00"/>
  </r>
  <r>
    <s v="ORD00346"/>
    <x v="72"/>
    <x v="1"/>
    <s v="Punjab"/>
    <x v="1"/>
    <s v="Global Mart"/>
    <s v="Furniture"/>
    <s v="Desk"/>
    <n v="4"/>
    <n v="10000"/>
    <n v="0"/>
    <n v="40000"/>
    <n v="30876.37"/>
    <n v="9123.6299999999992"/>
    <s v="UPI"/>
    <d v="2025-08-14T00:00:00"/>
  </r>
  <r>
    <s v="ORD00347"/>
    <x v="1"/>
    <x v="3"/>
    <s v="Karnataka"/>
    <x v="4"/>
    <s v="Vision Corp"/>
    <s v="Furniture"/>
    <s v="Desk"/>
    <n v="10"/>
    <n v="10000"/>
    <n v="15"/>
    <n v="85000"/>
    <n v="58659.21"/>
    <n v="26340.79"/>
    <s v="Net Banking"/>
    <d v="2025-10-11T00:00:00"/>
  </r>
  <r>
    <s v="ORD00348"/>
    <x v="95"/>
    <x v="3"/>
    <s v="Karnataka"/>
    <x v="3"/>
    <s v="Prime Stores"/>
    <s v="Accessories"/>
    <s v="Headset"/>
    <n v="6"/>
    <n v="2500"/>
    <n v="15"/>
    <n v="12750"/>
    <n v="9167.31"/>
    <n v="3582.69"/>
    <s v="UPI"/>
    <d v="2025-08-24T00:00:00"/>
  </r>
  <r>
    <s v="ORD00349"/>
    <x v="226"/>
    <x v="3"/>
    <s v="Karnataka"/>
    <x v="4"/>
    <s v="ABC Pvt Ltd"/>
    <s v="Electronics"/>
    <s v="Keyboard"/>
    <n v="8"/>
    <n v="1500"/>
    <n v="10"/>
    <n v="10800"/>
    <n v="9508.4699999999993"/>
    <n v="1291.53"/>
    <s v="Cash"/>
    <d v="2025-05-21T00:00:00"/>
  </r>
  <r>
    <s v="ORD00350"/>
    <x v="227"/>
    <x v="1"/>
    <s v="Punjab"/>
    <x v="5"/>
    <s v="Tech Solutions"/>
    <s v="Furniture"/>
    <s v="Office Chair"/>
    <n v="10"/>
    <n v="6000"/>
    <n v="10"/>
    <n v="54000"/>
    <n v="36845.230000000003"/>
    <n v="17154.77"/>
    <s v="UPI"/>
    <d v="2025-01-09T00:00:00"/>
  </r>
  <r>
    <s v="ORD00351"/>
    <x v="193"/>
    <x v="0"/>
    <s v="Maharashtra"/>
    <x v="0"/>
    <s v="Vision Corp"/>
    <s v="Furniture"/>
    <s v="Office Chair"/>
    <n v="7"/>
    <n v="6000"/>
    <n v="15"/>
    <n v="35700"/>
    <n v="28847.86"/>
    <n v="6852.14"/>
    <s v="Cash"/>
    <d v="2025-12-01T00:00:00"/>
  </r>
  <r>
    <s v="ORD00352"/>
    <x v="228"/>
    <x v="0"/>
    <s v="Maharashtra"/>
    <x v="2"/>
    <s v="ABC Pvt Ltd"/>
    <s v="Electronics"/>
    <s v="Keyboard"/>
    <n v="5"/>
    <n v="1500"/>
    <n v="15"/>
    <n v="6375"/>
    <n v="4302.88"/>
    <n v="2072.12"/>
    <s v="Net Banking"/>
    <d v="2025-08-10T00:00:00"/>
  </r>
  <r>
    <s v="ORD00353"/>
    <x v="9"/>
    <x v="3"/>
    <s v="Karnataka"/>
    <x v="0"/>
    <s v="ABC Pvt Ltd"/>
    <s v="Electronics"/>
    <s v="Monitor"/>
    <n v="3"/>
    <n v="12000"/>
    <n v="0"/>
    <n v="36000"/>
    <n v="31703"/>
    <n v="4297"/>
    <s v="Cash"/>
    <d v="2025-12-18T00:00:00"/>
  </r>
  <r>
    <s v="ORD00354"/>
    <x v="10"/>
    <x v="0"/>
    <s v="Maharashtra"/>
    <x v="3"/>
    <s v="Prime Stores"/>
    <s v="Electronics"/>
    <s v="Monitor"/>
    <n v="3"/>
    <n v="12000"/>
    <n v="15"/>
    <n v="30600"/>
    <n v="22248.54"/>
    <n v="8351.4599999999991"/>
    <s v="Card"/>
    <d v="2025-11-25T00:00:00"/>
  </r>
  <r>
    <s v="ORD00355"/>
    <x v="229"/>
    <x v="2"/>
    <s v="Odisha"/>
    <x v="0"/>
    <s v="Prime Stores"/>
    <s v="Electronics"/>
    <s v="Monitor"/>
    <n v="7"/>
    <n v="12000"/>
    <n v="15"/>
    <n v="71400"/>
    <n v="51845.36"/>
    <n v="19554.64"/>
    <s v="UPI"/>
    <d v="2025-12-15T00:00:00"/>
  </r>
  <r>
    <s v="ORD00356"/>
    <x v="230"/>
    <x v="1"/>
    <s v="Punjab"/>
    <x v="0"/>
    <s v="Global Mart"/>
    <s v="Electronics"/>
    <s v="Keyboard"/>
    <n v="1"/>
    <n v="1500"/>
    <n v="0"/>
    <n v="1500"/>
    <n v="1236.73"/>
    <n v="263.27"/>
    <s v="Cash"/>
    <d v="2025-09-11T00:00:00"/>
  </r>
  <r>
    <s v="ORD00357"/>
    <x v="207"/>
    <x v="1"/>
    <s v="Haryana"/>
    <x v="0"/>
    <s v="Global Mart"/>
    <s v="Furniture"/>
    <s v="Office Chair"/>
    <n v="4"/>
    <n v="6000"/>
    <n v="5"/>
    <n v="22800"/>
    <n v="18653.150000000001"/>
    <n v="4146.8500000000004"/>
    <s v="Cash"/>
    <d v="2025-06-24T00:00:00"/>
  </r>
  <r>
    <s v="ORD00358"/>
    <x v="51"/>
    <x v="1"/>
    <s v="Haryana"/>
    <x v="1"/>
    <s v="Tech Solutions"/>
    <s v="Furniture"/>
    <s v="Office Chair"/>
    <n v="1"/>
    <n v="6000"/>
    <n v="0"/>
    <n v="6000"/>
    <n v="4420.3599999999997"/>
    <n v="1579.64"/>
    <s v="Card"/>
    <d v="2025-03-17T00:00:00"/>
  </r>
  <r>
    <s v="ORD00359"/>
    <x v="141"/>
    <x v="0"/>
    <s v="Gujarat"/>
    <x v="1"/>
    <s v="ABC Pvt Ltd"/>
    <s v="Furniture"/>
    <s v="Office Chair"/>
    <n v="3"/>
    <n v="6000"/>
    <n v="5"/>
    <n v="17100"/>
    <n v="12241.12"/>
    <n v="4858.88"/>
    <s v="UPI"/>
    <d v="2025-06-23T00:00:00"/>
  </r>
  <r>
    <s v="ORD00360"/>
    <x v="231"/>
    <x v="2"/>
    <s v="West Bengal"/>
    <x v="3"/>
    <s v="Prime Stores"/>
    <s v="Accessories"/>
    <s v="USB Drive"/>
    <n v="2"/>
    <n v="900"/>
    <n v="15"/>
    <n v="1530"/>
    <n v="1205.44"/>
    <n v="324.56"/>
    <s v="UPI"/>
    <d v="2025-10-31T00:00:00"/>
  </r>
  <r>
    <s v="ORD00361"/>
    <x v="195"/>
    <x v="1"/>
    <s v="Delhi"/>
    <x v="4"/>
    <s v="Vision Corp"/>
    <s v="Electronics"/>
    <s v="Monitor"/>
    <n v="6"/>
    <n v="12000"/>
    <n v="5"/>
    <n v="68400"/>
    <n v="45046.91"/>
    <n v="23353.09"/>
    <s v="Cash"/>
    <d v="2025-10-01T00:00:00"/>
  </r>
  <r>
    <s v="ORD00362"/>
    <x v="154"/>
    <x v="2"/>
    <s v="Odisha"/>
    <x v="5"/>
    <s v="Prime Stores"/>
    <s v="Accessories"/>
    <s v="Mouse"/>
    <n v="3"/>
    <n v="800"/>
    <n v="0"/>
    <n v="2400"/>
    <n v="2066.59"/>
    <n v="333.41"/>
    <s v="Card"/>
    <d v="2025-05-01T00:00:00"/>
  </r>
  <r>
    <s v="ORD00363"/>
    <x v="232"/>
    <x v="1"/>
    <s v="Delhi"/>
    <x v="0"/>
    <s v="Global Mart"/>
    <s v="Electronics"/>
    <s v="Laptop"/>
    <n v="10"/>
    <n v="55000"/>
    <n v="0"/>
    <n v="550000"/>
    <n v="436279.73"/>
    <n v="113720.27"/>
    <s v="Net Banking"/>
    <d v="2025-01-26T00:00:00"/>
  </r>
  <r>
    <s v="ORD00364"/>
    <x v="125"/>
    <x v="2"/>
    <s v="Odisha"/>
    <x v="2"/>
    <s v="Prime Stores"/>
    <s v="Electronics"/>
    <s v="Laptop"/>
    <n v="7"/>
    <n v="55000"/>
    <n v="15"/>
    <n v="327250"/>
    <n v="218353"/>
    <n v="108897"/>
    <s v="Cash"/>
    <d v="2025-03-29T00:00:00"/>
  </r>
  <r>
    <s v="ORD00365"/>
    <x v="233"/>
    <x v="1"/>
    <s v="Punjab"/>
    <x v="4"/>
    <s v="ABC Pvt Ltd"/>
    <s v="Accessories"/>
    <s v="Mouse"/>
    <n v="4"/>
    <n v="800"/>
    <n v="5"/>
    <n v="3040"/>
    <n v="2539.8200000000002"/>
    <n v="500.18"/>
    <s v="Net Banking"/>
    <d v="2025-09-02T00:00:00"/>
  </r>
  <r>
    <s v="ORD00366"/>
    <x v="234"/>
    <x v="0"/>
    <s v="Maharashtra"/>
    <x v="5"/>
    <s v="XYZ Ltd"/>
    <s v="Furniture"/>
    <s v="Office Chair"/>
    <n v="7"/>
    <n v="6000"/>
    <n v="10"/>
    <n v="37800"/>
    <n v="25772.78"/>
    <n v="12027.22"/>
    <s v="Net Banking"/>
    <d v="2025-07-15T00:00:00"/>
  </r>
  <r>
    <s v="ORD00367"/>
    <x v="173"/>
    <x v="2"/>
    <s v="West Bengal"/>
    <x v="0"/>
    <s v="Vision Corp"/>
    <s v="Furniture"/>
    <s v="Office Chair"/>
    <n v="2"/>
    <n v="6000"/>
    <n v="10"/>
    <n v="10800"/>
    <n v="8260.99"/>
    <n v="2539.0100000000002"/>
    <s v="Card"/>
    <d v="2025-03-02T00:00:00"/>
  </r>
  <r>
    <s v="ORD00368"/>
    <x v="14"/>
    <x v="0"/>
    <s v="Gujarat"/>
    <x v="2"/>
    <s v="ABC Pvt Ltd"/>
    <s v="Accessories"/>
    <s v="USB Drive"/>
    <n v="4"/>
    <n v="900"/>
    <n v="15"/>
    <n v="3060"/>
    <n v="2595.37"/>
    <n v="464.63"/>
    <s v="Card"/>
    <d v="2025-06-27T00:00:00"/>
  </r>
  <r>
    <s v="ORD00369"/>
    <x v="235"/>
    <x v="2"/>
    <s v="West Bengal"/>
    <x v="4"/>
    <s v="Vision Corp"/>
    <s v="Electronics"/>
    <s v="Laptop"/>
    <n v="4"/>
    <n v="55000"/>
    <n v="0"/>
    <n v="220000"/>
    <n v="163301.09"/>
    <n v="56698.91"/>
    <s v="Net Banking"/>
    <d v="2025-11-18T00:00:00"/>
  </r>
  <r>
    <s v="ORD00370"/>
    <x v="17"/>
    <x v="3"/>
    <s v="Tamil Nadu"/>
    <x v="0"/>
    <s v="Tech Solutions"/>
    <s v="Furniture"/>
    <s v="Desk"/>
    <n v="4"/>
    <n v="10000"/>
    <n v="15"/>
    <n v="34000"/>
    <n v="27416.98"/>
    <n v="6583.02"/>
    <s v="Card"/>
    <d v="2025-05-17T00:00:00"/>
  </r>
  <r>
    <s v="ORD00371"/>
    <x v="96"/>
    <x v="0"/>
    <s v="Maharashtra"/>
    <x v="2"/>
    <s v="Tech Solutions"/>
    <s v="Electronics"/>
    <s v="Keyboard"/>
    <n v="8"/>
    <n v="1500"/>
    <n v="5"/>
    <n v="11400"/>
    <n v="9743.19"/>
    <n v="1656.81"/>
    <s v="Cash"/>
    <d v="2025-11-28T00:00:00"/>
  </r>
  <r>
    <s v="ORD00372"/>
    <x v="236"/>
    <x v="2"/>
    <s v="Odisha"/>
    <x v="3"/>
    <s v="Prime Stores"/>
    <s v="Furniture"/>
    <s v="Desk"/>
    <n v="2"/>
    <n v="10000"/>
    <n v="10"/>
    <n v="18000"/>
    <n v="16183.46"/>
    <n v="1816.54"/>
    <s v="Net Banking"/>
    <d v="2025-05-09T00:00:00"/>
  </r>
  <r>
    <s v="ORD00373"/>
    <x v="81"/>
    <x v="1"/>
    <s v="Punjab"/>
    <x v="4"/>
    <s v="ABC Pvt Ltd"/>
    <s v="Electronics"/>
    <s v="Monitor"/>
    <n v="7"/>
    <n v="12000"/>
    <n v="15"/>
    <n v="71400"/>
    <n v="53568.29"/>
    <n v="17831.71"/>
    <s v="Net Banking"/>
    <d v="2025-06-26T00:00:00"/>
  </r>
  <r>
    <s v="ORD00374"/>
    <x v="180"/>
    <x v="2"/>
    <s v="Odisha"/>
    <x v="1"/>
    <s v="Tech Solutions"/>
    <s v="Furniture"/>
    <s v="Office Chair"/>
    <n v="3"/>
    <n v="6000"/>
    <n v="5"/>
    <n v="17100"/>
    <n v="13803.91"/>
    <n v="3296.09"/>
    <s v="Net Banking"/>
    <d v="2025-04-23T00:00:00"/>
  </r>
  <r>
    <s v="ORD00375"/>
    <x v="55"/>
    <x v="1"/>
    <s v="Delhi"/>
    <x v="4"/>
    <s v="Global Mart"/>
    <s v="Accessories"/>
    <s v="Headset"/>
    <n v="2"/>
    <n v="2500"/>
    <n v="0"/>
    <n v="5000"/>
    <n v="3396.31"/>
    <n v="1603.69"/>
    <s v="Card"/>
    <d v="2025-02-17T00:00:00"/>
  </r>
  <r>
    <s v="ORD00376"/>
    <x v="146"/>
    <x v="0"/>
    <s v="Gujarat"/>
    <x v="2"/>
    <s v="Vision Corp"/>
    <s v="Furniture"/>
    <s v="Office Chair"/>
    <n v="3"/>
    <n v="6000"/>
    <n v="5"/>
    <n v="17100"/>
    <n v="14619.81"/>
    <n v="2480.19"/>
    <s v="Net Banking"/>
    <d v="2025-02-13T00:00:00"/>
  </r>
  <r>
    <s v="ORD00377"/>
    <x v="237"/>
    <x v="2"/>
    <s v="West Bengal"/>
    <x v="5"/>
    <s v="XYZ Ltd"/>
    <s v="Furniture"/>
    <s v="Office Chair"/>
    <n v="7"/>
    <n v="6000"/>
    <n v="15"/>
    <n v="35700"/>
    <n v="26342.37"/>
    <n v="9357.6299999999992"/>
    <s v="Card"/>
    <d v="2025-04-01T00:00:00"/>
  </r>
  <r>
    <s v="ORD00378"/>
    <x v="9"/>
    <x v="3"/>
    <s v="Karnataka"/>
    <x v="2"/>
    <s v="XYZ Ltd"/>
    <s v="Furniture"/>
    <s v="Desk"/>
    <n v="10"/>
    <n v="10000"/>
    <n v="10"/>
    <n v="90000"/>
    <n v="71244.509999999995"/>
    <n v="18755.490000000002"/>
    <s v="Card"/>
    <d v="2025-12-18T00:00:00"/>
  </r>
  <r>
    <s v="ORD00379"/>
    <x v="161"/>
    <x v="3"/>
    <s v="Telangana"/>
    <x v="1"/>
    <s v="Vision Corp"/>
    <s v="Furniture"/>
    <s v="Office Chair"/>
    <n v="2"/>
    <n v="6000"/>
    <n v="5"/>
    <n v="11400"/>
    <n v="8318.43"/>
    <n v="3081.57"/>
    <s v="Net Banking"/>
    <d v="2025-09-05T00:00:00"/>
  </r>
  <r>
    <s v="ORD00380"/>
    <x v="229"/>
    <x v="2"/>
    <s v="Odisha"/>
    <x v="3"/>
    <s v="Global Mart"/>
    <s v="Furniture"/>
    <s v="Office Chair"/>
    <n v="10"/>
    <n v="6000"/>
    <n v="15"/>
    <n v="51000"/>
    <n v="37198.949999999997"/>
    <n v="13801.05"/>
    <s v="Card"/>
    <d v="2025-12-15T00:00:00"/>
  </r>
  <r>
    <s v="ORD00381"/>
    <x v="237"/>
    <x v="3"/>
    <s v="Karnataka"/>
    <x v="3"/>
    <s v="ABC Pvt Ltd"/>
    <s v="Furniture"/>
    <s v="Office Chair"/>
    <n v="2"/>
    <n v="6000"/>
    <n v="5"/>
    <n v="11400"/>
    <n v="10148.77"/>
    <n v="1251.23"/>
    <s v="Card"/>
    <d v="2025-04-01T00:00:00"/>
  </r>
  <r>
    <s v="ORD00382"/>
    <x v="0"/>
    <x v="1"/>
    <s v="Punjab"/>
    <x v="1"/>
    <s v="Vision Corp"/>
    <s v="Accessories"/>
    <s v="Headset"/>
    <n v="5"/>
    <n v="2500"/>
    <n v="0"/>
    <n v="12500"/>
    <n v="9790.9"/>
    <n v="2709.1"/>
    <s v="Net Banking"/>
    <d v="2025-01-18T00:00:00"/>
  </r>
  <r>
    <s v="ORD00383"/>
    <x v="10"/>
    <x v="3"/>
    <s v="Tamil Nadu"/>
    <x v="1"/>
    <s v="Tech Solutions"/>
    <s v="Electronics"/>
    <s v="Monitor"/>
    <n v="1"/>
    <n v="12000"/>
    <n v="0"/>
    <n v="12000"/>
    <n v="8375.5400000000009"/>
    <n v="3624.46"/>
    <s v="Net Banking"/>
    <d v="2025-11-25T00:00:00"/>
  </r>
  <r>
    <s v="ORD00384"/>
    <x v="6"/>
    <x v="2"/>
    <s v="West Bengal"/>
    <x v="5"/>
    <s v="XYZ Ltd"/>
    <s v="Electronics"/>
    <s v="Keyboard"/>
    <n v="8"/>
    <n v="1500"/>
    <n v="0"/>
    <n v="12000"/>
    <n v="8062.3"/>
    <n v="3937.7"/>
    <s v="Net Banking"/>
    <d v="2025-02-11T00:00:00"/>
  </r>
  <r>
    <s v="ORD00385"/>
    <x v="124"/>
    <x v="3"/>
    <s v="Telangana"/>
    <x v="2"/>
    <s v="XYZ Ltd"/>
    <s v="Accessories"/>
    <s v="Headset"/>
    <n v="1"/>
    <n v="2500"/>
    <n v="10"/>
    <n v="2250"/>
    <n v="1520.06"/>
    <n v="729.94"/>
    <s v="Cash"/>
    <d v="2025-01-16T00:00:00"/>
  </r>
  <r>
    <s v="ORD00386"/>
    <x v="124"/>
    <x v="3"/>
    <s v="Telangana"/>
    <x v="2"/>
    <s v="Prime Stores"/>
    <s v="Electronics"/>
    <s v="Laptop"/>
    <n v="9"/>
    <n v="55000"/>
    <n v="0"/>
    <n v="495000"/>
    <n v="437846.98"/>
    <n v="57153.02"/>
    <s v="Net Banking"/>
    <d v="2025-01-16T00:00:00"/>
  </r>
  <r>
    <s v="ORD00387"/>
    <x v="238"/>
    <x v="3"/>
    <s v="Tamil Nadu"/>
    <x v="4"/>
    <s v="XYZ Ltd"/>
    <s v="Furniture"/>
    <s v="Office Chair"/>
    <n v="6"/>
    <n v="6000"/>
    <n v="0"/>
    <n v="36000"/>
    <n v="25985.11"/>
    <n v="10014.89"/>
    <s v="Cash"/>
    <d v="2025-12-19T00:00:00"/>
  </r>
  <r>
    <s v="ORD00388"/>
    <x v="79"/>
    <x v="2"/>
    <s v="Odisha"/>
    <x v="1"/>
    <s v="Vision Corp"/>
    <s v="Furniture"/>
    <s v="Desk"/>
    <n v="6"/>
    <n v="10000"/>
    <n v="10"/>
    <n v="54000"/>
    <n v="41087.730000000003"/>
    <n v="12912.27"/>
    <s v="Net Banking"/>
    <d v="2025-12-21T00:00:00"/>
  </r>
  <r>
    <s v="ORD00389"/>
    <x v="198"/>
    <x v="3"/>
    <s v="Karnataka"/>
    <x v="3"/>
    <s v="ABC Pvt Ltd"/>
    <s v="Electronics"/>
    <s v="Keyboard"/>
    <n v="7"/>
    <n v="1500"/>
    <n v="5"/>
    <n v="9975"/>
    <n v="7309.26"/>
    <n v="2665.74"/>
    <s v="UPI"/>
    <d v="2025-05-08T00:00:00"/>
  </r>
  <r>
    <s v="ORD00390"/>
    <x v="171"/>
    <x v="3"/>
    <s v="Telangana"/>
    <x v="0"/>
    <s v="ABC Pvt Ltd"/>
    <s v="Furniture"/>
    <s v="Desk"/>
    <n v="2"/>
    <n v="10000"/>
    <n v="5"/>
    <n v="19000"/>
    <n v="14151.89"/>
    <n v="4848.1099999999997"/>
    <s v="Card"/>
    <d v="2025-02-09T00:00:00"/>
  </r>
  <r>
    <s v="ORD00391"/>
    <x v="7"/>
    <x v="1"/>
    <s v="Haryana"/>
    <x v="0"/>
    <s v="Tech Solutions"/>
    <s v="Furniture"/>
    <s v="Office Chair"/>
    <n v="9"/>
    <n v="6000"/>
    <n v="5"/>
    <n v="51300"/>
    <n v="45320.160000000003"/>
    <n v="5979.84"/>
    <s v="UPI"/>
    <d v="2025-03-28T00:00:00"/>
  </r>
  <r>
    <s v="ORD00392"/>
    <x v="112"/>
    <x v="0"/>
    <s v="Gujarat"/>
    <x v="2"/>
    <s v="ABC Pvt Ltd"/>
    <s v="Accessories"/>
    <s v="Mouse"/>
    <n v="6"/>
    <n v="800"/>
    <n v="5"/>
    <n v="4560"/>
    <n v="3895.37"/>
    <n v="664.63"/>
    <s v="Net Banking"/>
    <d v="2025-11-29T00:00:00"/>
  </r>
  <r>
    <s v="ORD00393"/>
    <x v="100"/>
    <x v="2"/>
    <s v="Odisha"/>
    <x v="3"/>
    <s v="Tech Solutions"/>
    <s v="Furniture"/>
    <s v="Office Chair"/>
    <n v="5"/>
    <n v="6000"/>
    <n v="0"/>
    <n v="30000"/>
    <n v="20496.7"/>
    <n v="9503.2999999999993"/>
    <s v="Net Banking"/>
    <d v="2025-02-05T00:00:00"/>
  </r>
  <r>
    <s v="ORD00394"/>
    <x v="239"/>
    <x v="1"/>
    <s v="Punjab"/>
    <x v="2"/>
    <s v="Vision Corp"/>
    <s v="Electronics"/>
    <s v="Keyboard"/>
    <n v="7"/>
    <n v="1500"/>
    <n v="10"/>
    <n v="9450"/>
    <n v="6964.46"/>
    <n v="2485.54"/>
    <s v="UPI"/>
    <d v="2025-06-13T00:00:00"/>
  </r>
  <r>
    <s v="ORD00395"/>
    <x v="62"/>
    <x v="2"/>
    <s v="Odisha"/>
    <x v="4"/>
    <s v="Prime Stores"/>
    <s v="Electronics"/>
    <s v="Keyboard"/>
    <n v="2"/>
    <n v="1500"/>
    <n v="0"/>
    <n v="3000"/>
    <n v="2490.9499999999998"/>
    <n v="509.05"/>
    <s v="UPI"/>
    <d v="2025-08-08T00:00:00"/>
  </r>
  <r>
    <s v="ORD00396"/>
    <x v="240"/>
    <x v="1"/>
    <s v="Punjab"/>
    <x v="3"/>
    <s v="Vision Corp"/>
    <s v="Furniture"/>
    <s v="Desk"/>
    <n v="2"/>
    <n v="10000"/>
    <n v="0"/>
    <n v="20000"/>
    <n v="13326.33"/>
    <n v="6673.67"/>
    <s v="Card"/>
    <d v="2025-06-03T00:00:00"/>
  </r>
  <r>
    <s v="ORD00397"/>
    <x v="90"/>
    <x v="0"/>
    <s v="Gujarat"/>
    <x v="1"/>
    <s v="XYZ Ltd"/>
    <s v="Electronics"/>
    <s v="Laptop"/>
    <n v="8"/>
    <n v="55000"/>
    <n v="0"/>
    <n v="440000"/>
    <n v="357793.21"/>
    <n v="82206.789999999994"/>
    <s v="Net Banking"/>
    <d v="2025-03-24T00:00:00"/>
  </r>
  <r>
    <s v="ORD00398"/>
    <x v="241"/>
    <x v="1"/>
    <s v="Delhi"/>
    <x v="0"/>
    <s v="Global Mart"/>
    <s v="Accessories"/>
    <s v="USB Drive"/>
    <n v="8"/>
    <n v="900"/>
    <n v="15"/>
    <n v="6120"/>
    <n v="4958.93"/>
    <n v="1161.07"/>
    <s v="Cash"/>
    <d v="2025-01-23T00:00:00"/>
  </r>
  <r>
    <s v="ORD00399"/>
    <x v="242"/>
    <x v="0"/>
    <s v="Gujarat"/>
    <x v="5"/>
    <s v="ABC Pvt Ltd"/>
    <s v="Furniture"/>
    <s v="Desk"/>
    <n v="4"/>
    <n v="10000"/>
    <n v="10"/>
    <n v="36000"/>
    <n v="30125.26"/>
    <n v="5874.74"/>
    <s v="UPI"/>
    <d v="2025-09-04T00:00:00"/>
  </r>
  <r>
    <s v="ORD00400"/>
    <x v="54"/>
    <x v="3"/>
    <s v="Karnataka"/>
    <x v="0"/>
    <s v="Tech Solutions"/>
    <s v="Furniture"/>
    <s v="Office Chair"/>
    <n v="6"/>
    <n v="6000"/>
    <n v="0"/>
    <n v="36000"/>
    <n v="30616.98"/>
    <n v="5383.02"/>
    <s v="UPI"/>
    <d v="2025-09-14T00:00:00"/>
  </r>
  <r>
    <s v="ORD00401"/>
    <x v="45"/>
    <x v="0"/>
    <s v="Maharashtra"/>
    <x v="3"/>
    <s v="Prime Stores"/>
    <s v="Furniture"/>
    <s v="Desk"/>
    <n v="4"/>
    <n v="10000"/>
    <n v="0"/>
    <n v="40000"/>
    <n v="32356.639999999999"/>
    <n v="7643.36"/>
    <s v="Card"/>
    <d v="2025-11-16T00:00:00"/>
  </r>
  <r>
    <s v="ORD00402"/>
    <x v="243"/>
    <x v="3"/>
    <s v="Tamil Nadu"/>
    <x v="2"/>
    <s v="Prime Stores"/>
    <s v="Electronics"/>
    <s v="Keyboard"/>
    <n v="7"/>
    <n v="1500"/>
    <n v="5"/>
    <n v="9975"/>
    <n v="6549.15"/>
    <n v="3425.85"/>
    <s v="UPI"/>
    <d v="2025-10-16T00:00:00"/>
  </r>
  <r>
    <s v="ORD00403"/>
    <x v="203"/>
    <x v="2"/>
    <s v="West Bengal"/>
    <x v="2"/>
    <s v="ABC Pvt Ltd"/>
    <s v="Furniture"/>
    <s v="Desk"/>
    <n v="5"/>
    <n v="10000"/>
    <n v="5"/>
    <n v="47500"/>
    <n v="33893.879999999997"/>
    <n v="13606.12"/>
    <s v="Net Banking"/>
    <d v="2025-04-26T00:00:00"/>
  </r>
  <r>
    <s v="ORD00404"/>
    <x v="157"/>
    <x v="1"/>
    <s v="Punjab"/>
    <x v="1"/>
    <s v="Tech Solutions"/>
    <s v="Electronics"/>
    <s v="Keyboard"/>
    <n v="7"/>
    <n v="1500"/>
    <n v="15"/>
    <n v="8925"/>
    <n v="7297.52"/>
    <n v="1627.48"/>
    <s v="Cash"/>
    <d v="2025-01-19T00:00:00"/>
  </r>
  <r>
    <s v="ORD00405"/>
    <x v="244"/>
    <x v="1"/>
    <s v="Haryana"/>
    <x v="0"/>
    <s v="Global Mart"/>
    <s v="Accessories"/>
    <s v="Mouse"/>
    <n v="6"/>
    <n v="800"/>
    <n v="0"/>
    <n v="4800"/>
    <n v="4197.03"/>
    <n v="602.97"/>
    <s v="Cash"/>
    <d v="2025-08-25T00:00:00"/>
  </r>
  <r>
    <s v="ORD00406"/>
    <x v="245"/>
    <x v="2"/>
    <s v="West Bengal"/>
    <x v="0"/>
    <s v="ABC Pvt Ltd"/>
    <s v="Accessories"/>
    <s v="USB Drive"/>
    <n v="3"/>
    <n v="900"/>
    <n v="5"/>
    <n v="2565"/>
    <n v="1974.02"/>
    <n v="590.98"/>
    <s v="Cash"/>
    <d v="2025-11-04T00:00:00"/>
  </r>
  <r>
    <s v="ORD00407"/>
    <x v="74"/>
    <x v="0"/>
    <s v="Maharashtra"/>
    <x v="4"/>
    <s v="Vision Corp"/>
    <s v="Furniture"/>
    <s v="Office Chair"/>
    <n v="4"/>
    <n v="6000"/>
    <n v="15"/>
    <n v="20400"/>
    <n v="16714.259999999998"/>
    <n v="3685.74"/>
    <s v="Net Banking"/>
    <d v="2025-03-08T00:00:00"/>
  </r>
  <r>
    <s v="ORD00408"/>
    <x v="246"/>
    <x v="3"/>
    <s v="Telangana"/>
    <x v="1"/>
    <s v="Tech Solutions"/>
    <s v="Accessories"/>
    <s v="Headset"/>
    <n v="3"/>
    <n v="2500"/>
    <n v="10"/>
    <n v="6750"/>
    <n v="4700.84"/>
    <n v="2049.16"/>
    <s v="Cash"/>
    <d v="2025-01-28T00:00:00"/>
  </r>
  <r>
    <s v="ORD00409"/>
    <x v="174"/>
    <x v="0"/>
    <s v="Gujarat"/>
    <x v="1"/>
    <s v="Global Mart"/>
    <s v="Electronics"/>
    <s v="Laptop"/>
    <n v="8"/>
    <n v="55000"/>
    <n v="10"/>
    <n v="396000"/>
    <n v="294730.15000000002"/>
    <n v="101269.85"/>
    <s v="Net Banking"/>
    <d v="2025-08-04T00:00:00"/>
  </r>
  <r>
    <s v="ORD00410"/>
    <x v="73"/>
    <x v="0"/>
    <s v="Maharashtra"/>
    <x v="0"/>
    <s v="Tech Solutions"/>
    <s v="Furniture"/>
    <s v="Office Chair"/>
    <n v="1"/>
    <n v="6000"/>
    <n v="5"/>
    <n v="5700"/>
    <n v="4986.75"/>
    <n v="713.25"/>
    <s v="Net Banking"/>
    <d v="2025-03-15T00:00:00"/>
  </r>
  <r>
    <s v="ORD00411"/>
    <x v="247"/>
    <x v="1"/>
    <s v="Haryana"/>
    <x v="4"/>
    <s v="Prime Stores"/>
    <s v="Electronics"/>
    <s v="Monitor"/>
    <n v="6"/>
    <n v="12000"/>
    <n v="5"/>
    <n v="68400"/>
    <n v="53408.42"/>
    <n v="14991.58"/>
    <s v="Card"/>
    <d v="2025-12-14T00:00:00"/>
  </r>
  <r>
    <s v="ORD00412"/>
    <x v="248"/>
    <x v="3"/>
    <s v="Telangana"/>
    <x v="4"/>
    <s v="Vision Corp"/>
    <s v="Electronics"/>
    <s v="Laptop"/>
    <n v="6"/>
    <n v="55000"/>
    <n v="0"/>
    <n v="330000"/>
    <n v="245705.42"/>
    <n v="84294.58"/>
    <s v="UPI"/>
    <d v="2025-02-02T00:00:00"/>
  </r>
  <r>
    <s v="ORD00413"/>
    <x v="249"/>
    <x v="2"/>
    <s v="West Bengal"/>
    <x v="1"/>
    <s v="XYZ Ltd"/>
    <s v="Electronics"/>
    <s v="Keyboard"/>
    <n v="1"/>
    <n v="1500"/>
    <n v="0"/>
    <n v="1500"/>
    <n v="1147.32"/>
    <n v="352.68"/>
    <s v="Card"/>
    <d v="2025-03-22T00:00:00"/>
  </r>
  <r>
    <s v="ORD00414"/>
    <x v="200"/>
    <x v="2"/>
    <s v="West Bengal"/>
    <x v="4"/>
    <s v="Tech Solutions"/>
    <s v="Electronics"/>
    <s v="Laptop"/>
    <n v="4"/>
    <n v="55000"/>
    <n v="15"/>
    <n v="187000"/>
    <n v="157189.53"/>
    <n v="29810.47"/>
    <s v="Cash"/>
    <d v="2025-09-21T00:00:00"/>
  </r>
  <r>
    <s v="ORD00415"/>
    <x v="250"/>
    <x v="2"/>
    <s v="Odisha"/>
    <x v="0"/>
    <s v="Tech Solutions"/>
    <s v="Electronics"/>
    <s v="Laptop"/>
    <n v="4"/>
    <n v="55000"/>
    <n v="10"/>
    <n v="198000"/>
    <n v="158881.24"/>
    <n v="39118.76"/>
    <s v="Net Banking"/>
    <d v="2025-07-11T00:00:00"/>
  </r>
  <r>
    <s v="ORD00416"/>
    <x v="217"/>
    <x v="3"/>
    <s v="Telangana"/>
    <x v="0"/>
    <s v="Prime Stores"/>
    <s v="Furniture"/>
    <s v="Office Chair"/>
    <n v="4"/>
    <n v="6000"/>
    <n v="15"/>
    <n v="20400"/>
    <n v="17448.509999999998"/>
    <n v="2951.49"/>
    <s v="UPI"/>
    <d v="2025-03-21T00:00:00"/>
  </r>
  <r>
    <s v="ORD00417"/>
    <x v="251"/>
    <x v="1"/>
    <s v="Punjab"/>
    <x v="3"/>
    <s v="Vision Corp"/>
    <s v="Electronics"/>
    <s v="Laptop"/>
    <n v="10"/>
    <n v="55000"/>
    <n v="5"/>
    <n v="522500"/>
    <n v="407407.58"/>
    <n v="115092.42"/>
    <s v="Net Banking"/>
    <d v="2025-10-13T00:00:00"/>
  </r>
  <r>
    <s v="ORD00418"/>
    <x v="189"/>
    <x v="2"/>
    <s v="Odisha"/>
    <x v="5"/>
    <s v="ABC Pvt Ltd"/>
    <s v="Accessories"/>
    <s v="Headset"/>
    <n v="2"/>
    <n v="2500"/>
    <n v="10"/>
    <n v="4500"/>
    <n v="3718.59"/>
    <n v="781.41"/>
    <s v="UPI"/>
    <d v="2025-12-20T00:00:00"/>
  </r>
  <r>
    <s v="ORD00419"/>
    <x v="0"/>
    <x v="0"/>
    <s v="Maharashtra"/>
    <x v="4"/>
    <s v="XYZ Ltd"/>
    <s v="Accessories"/>
    <s v="Headset"/>
    <n v="10"/>
    <n v="2500"/>
    <n v="0"/>
    <n v="25000"/>
    <n v="18747.39"/>
    <n v="6252.61"/>
    <s v="Net Banking"/>
    <d v="2025-01-18T00:00:00"/>
  </r>
  <r>
    <s v="ORD00420"/>
    <x v="252"/>
    <x v="1"/>
    <s v="Haryana"/>
    <x v="0"/>
    <s v="Vision Corp"/>
    <s v="Furniture"/>
    <s v="Office Chair"/>
    <n v="7"/>
    <n v="6000"/>
    <n v="10"/>
    <n v="37800"/>
    <n v="26458.6"/>
    <n v="11341.4"/>
    <s v="Card"/>
    <d v="2025-04-06T00:00:00"/>
  </r>
  <r>
    <s v="ORD00421"/>
    <x v="37"/>
    <x v="3"/>
    <s v="Tamil Nadu"/>
    <x v="3"/>
    <s v="Vision Corp"/>
    <s v="Electronics"/>
    <s v="Keyboard"/>
    <n v="6"/>
    <n v="1500"/>
    <n v="15"/>
    <n v="7650"/>
    <n v="5471.91"/>
    <n v="2178.09"/>
    <s v="Card"/>
    <d v="2025-04-18T00:00:00"/>
  </r>
  <r>
    <s v="ORD00422"/>
    <x v="167"/>
    <x v="1"/>
    <s v="Delhi"/>
    <x v="5"/>
    <s v="Vision Corp"/>
    <s v="Accessories"/>
    <s v="Headset"/>
    <n v="3"/>
    <n v="2500"/>
    <n v="15"/>
    <n v="6375"/>
    <n v="5214.95"/>
    <n v="1160.05"/>
    <s v="Card"/>
    <d v="2025-12-09T00:00:00"/>
  </r>
  <r>
    <s v="ORD00423"/>
    <x v="202"/>
    <x v="2"/>
    <s v="Odisha"/>
    <x v="2"/>
    <s v="XYZ Ltd"/>
    <s v="Furniture"/>
    <s v="Office Chair"/>
    <n v="4"/>
    <n v="6000"/>
    <n v="15"/>
    <n v="20400"/>
    <n v="13585.71"/>
    <n v="6814.29"/>
    <s v="Net Banking"/>
    <d v="2025-03-31T00:00:00"/>
  </r>
  <r>
    <s v="ORD00424"/>
    <x v="80"/>
    <x v="3"/>
    <s v="Tamil Nadu"/>
    <x v="2"/>
    <s v="Global Mart"/>
    <s v="Electronics"/>
    <s v="Keyboard"/>
    <n v="3"/>
    <n v="1500"/>
    <n v="15"/>
    <n v="3825"/>
    <n v="2930.06"/>
    <n v="894.94"/>
    <s v="Net Banking"/>
    <d v="2025-07-24T00:00:00"/>
  </r>
  <r>
    <s v="ORD00425"/>
    <x v="253"/>
    <x v="0"/>
    <s v="Gujarat"/>
    <x v="0"/>
    <s v="ABC Pvt Ltd"/>
    <s v="Furniture"/>
    <s v="Desk"/>
    <n v="9"/>
    <n v="10000"/>
    <n v="15"/>
    <n v="76500"/>
    <n v="56240.639999999999"/>
    <n v="20259.36"/>
    <s v="UPI"/>
    <d v="2025-01-06T00:00:00"/>
  </r>
  <r>
    <s v="ORD00426"/>
    <x v="254"/>
    <x v="2"/>
    <s v="Odisha"/>
    <x v="5"/>
    <s v="ABC Pvt Ltd"/>
    <s v="Electronics"/>
    <s v="Keyboard"/>
    <n v="6"/>
    <n v="1500"/>
    <n v="10"/>
    <n v="8100"/>
    <n v="5946.24"/>
    <n v="2153.7600000000002"/>
    <s v="Net Banking"/>
    <d v="2025-04-27T00:00:00"/>
  </r>
  <r>
    <s v="ORD00427"/>
    <x v="131"/>
    <x v="3"/>
    <s v="Karnataka"/>
    <x v="0"/>
    <s v="Vision Corp"/>
    <s v="Accessories"/>
    <s v="USB Drive"/>
    <n v="4"/>
    <n v="900"/>
    <n v="0"/>
    <n v="3600"/>
    <n v="3140.77"/>
    <n v="459.23"/>
    <s v="UPI"/>
    <d v="2025-03-05T00:00:00"/>
  </r>
  <r>
    <s v="ORD00428"/>
    <x v="255"/>
    <x v="1"/>
    <s v="Punjab"/>
    <x v="2"/>
    <s v="Tech Solutions"/>
    <s v="Accessories"/>
    <s v="Mouse"/>
    <n v="9"/>
    <n v="800"/>
    <n v="5"/>
    <n v="6840"/>
    <n v="5219.4399999999996"/>
    <n v="1620.56"/>
    <s v="Net Banking"/>
    <d v="2025-09-01T00:00:00"/>
  </r>
  <r>
    <s v="ORD00429"/>
    <x v="52"/>
    <x v="3"/>
    <s v="Karnataka"/>
    <x v="1"/>
    <s v="Vision Corp"/>
    <s v="Furniture"/>
    <s v="Desk"/>
    <n v="1"/>
    <n v="10000"/>
    <n v="10"/>
    <n v="9000"/>
    <n v="7533.05"/>
    <n v="1466.95"/>
    <s v="Net Banking"/>
    <d v="2025-12-04T00:00:00"/>
  </r>
  <r>
    <s v="ORD00430"/>
    <x v="255"/>
    <x v="1"/>
    <s v="Punjab"/>
    <x v="3"/>
    <s v="ABC Pvt Ltd"/>
    <s v="Furniture"/>
    <s v="Office Chair"/>
    <n v="7"/>
    <n v="6000"/>
    <n v="0"/>
    <n v="42000"/>
    <n v="30887.37"/>
    <n v="11112.63"/>
    <s v="Card"/>
    <d v="2025-09-01T00:00:00"/>
  </r>
  <r>
    <s v="ORD00431"/>
    <x v="17"/>
    <x v="3"/>
    <s v="Telangana"/>
    <x v="2"/>
    <s v="Prime Stores"/>
    <s v="Electronics"/>
    <s v="Keyboard"/>
    <n v="3"/>
    <n v="1500"/>
    <n v="10"/>
    <n v="4050"/>
    <n v="3120.25"/>
    <n v="929.75"/>
    <s v="UPI"/>
    <d v="2025-05-17T00:00:00"/>
  </r>
  <r>
    <s v="ORD00432"/>
    <x v="3"/>
    <x v="1"/>
    <s v="Haryana"/>
    <x v="3"/>
    <s v="Global Mart"/>
    <s v="Accessories"/>
    <s v="Headset"/>
    <n v="4"/>
    <n v="2500"/>
    <n v="0"/>
    <n v="10000"/>
    <n v="7176.76"/>
    <n v="2823.24"/>
    <s v="UPI"/>
    <d v="2025-05-28T00:00:00"/>
  </r>
  <r>
    <s v="ORD00433"/>
    <x v="100"/>
    <x v="3"/>
    <s v="Telangana"/>
    <x v="1"/>
    <s v="Vision Corp"/>
    <s v="Accessories"/>
    <s v="USB Drive"/>
    <n v="5"/>
    <n v="900"/>
    <n v="0"/>
    <n v="4500"/>
    <n v="4003.31"/>
    <n v="496.69"/>
    <s v="Net Banking"/>
    <d v="2025-02-05T00:00:00"/>
  </r>
  <r>
    <s v="ORD00434"/>
    <x v="41"/>
    <x v="2"/>
    <s v="Odisha"/>
    <x v="3"/>
    <s v="Prime Stores"/>
    <s v="Electronics"/>
    <s v="Monitor"/>
    <n v="2"/>
    <n v="12000"/>
    <n v="10"/>
    <n v="21600"/>
    <n v="16100.13"/>
    <n v="5499.87"/>
    <s v="UPI"/>
    <d v="2025-06-17T00:00:00"/>
  </r>
  <r>
    <s v="ORD00435"/>
    <x v="180"/>
    <x v="0"/>
    <s v="Maharashtra"/>
    <x v="3"/>
    <s v="ABC Pvt Ltd"/>
    <s v="Electronics"/>
    <s v="Monitor"/>
    <n v="4"/>
    <n v="12000"/>
    <n v="5"/>
    <n v="45600"/>
    <n v="37429.06"/>
    <n v="8170.94"/>
    <s v="Net Banking"/>
    <d v="2025-04-23T00:00:00"/>
  </r>
  <r>
    <s v="ORD00436"/>
    <x v="3"/>
    <x v="1"/>
    <s v="Punjab"/>
    <x v="3"/>
    <s v="XYZ Ltd"/>
    <s v="Furniture"/>
    <s v="Desk"/>
    <n v="6"/>
    <n v="10000"/>
    <n v="15"/>
    <n v="51000"/>
    <n v="36719.339999999997"/>
    <n v="14280.66"/>
    <s v="UPI"/>
    <d v="2025-05-28T00:00:00"/>
  </r>
  <r>
    <s v="ORD00437"/>
    <x v="256"/>
    <x v="1"/>
    <s v="Delhi"/>
    <x v="2"/>
    <s v="Vision Corp"/>
    <s v="Electronics"/>
    <s v="Laptop"/>
    <n v="6"/>
    <n v="55000"/>
    <n v="0"/>
    <n v="330000"/>
    <n v="275808.84999999998"/>
    <n v="54191.15"/>
    <s v="Card"/>
    <d v="2025-06-05T00:00:00"/>
  </r>
  <r>
    <s v="ORD00438"/>
    <x v="170"/>
    <x v="0"/>
    <s v="Maharashtra"/>
    <x v="3"/>
    <s v="ABC Pvt Ltd"/>
    <s v="Electronics"/>
    <s v="Monitor"/>
    <n v="2"/>
    <n v="12000"/>
    <n v="10"/>
    <n v="21600"/>
    <n v="16320.23"/>
    <n v="5279.77"/>
    <s v="Card"/>
    <d v="2025-06-21T00:00:00"/>
  </r>
  <r>
    <s v="ORD00439"/>
    <x v="101"/>
    <x v="3"/>
    <s v="Telangana"/>
    <x v="4"/>
    <s v="Tech Solutions"/>
    <s v="Furniture"/>
    <s v="Office Chair"/>
    <n v="6"/>
    <n v="6000"/>
    <n v="5"/>
    <n v="34200"/>
    <n v="22713.01"/>
    <n v="11486.99"/>
    <s v="Cash"/>
    <d v="2025-05-18T00:00:00"/>
  </r>
  <r>
    <s v="ORD00440"/>
    <x v="108"/>
    <x v="0"/>
    <s v="Gujarat"/>
    <x v="2"/>
    <s v="Vision Corp"/>
    <s v="Furniture"/>
    <s v="Desk"/>
    <n v="5"/>
    <n v="10000"/>
    <n v="0"/>
    <n v="50000"/>
    <n v="41572.86"/>
    <n v="8427.14"/>
    <s v="Net Banking"/>
    <d v="2025-01-25T00:00:00"/>
  </r>
  <r>
    <s v="ORD00441"/>
    <x v="169"/>
    <x v="2"/>
    <s v="Odisha"/>
    <x v="3"/>
    <s v="ABC Pvt Ltd"/>
    <s v="Accessories"/>
    <s v="Mouse"/>
    <n v="3"/>
    <n v="800"/>
    <n v="10"/>
    <n v="2160"/>
    <n v="1469.94"/>
    <n v="690.06"/>
    <s v="Card"/>
    <d v="2025-01-29T00:00:00"/>
  </r>
  <r>
    <s v="ORD00442"/>
    <x v="94"/>
    <x v="2"/>
    <s v="Odisha"/>
    <x v="4"/>
    <s v="Prime Stores"/>
    <s v="Furniture"/>
    <s v="Desk"/>
    <n v="2"/>
    <n v="10000"/>
    <n v="15"/>
    <n v="17000"/>
    <n v="14242.98"/>
    <n v="2757.02"/>
    <s v="UPI"/>
    <s v="24-Dec-2025"/>
  </r>
  <r>
    <s v="ORD00443"/>
    <x v="121"/>
    <x v="0"/>
    <s v="Gujarat"/>
    <x v="0"/>
    <s v="Global Mart"/>
    <s v="Furniture"/>
    <s v="Office Chair"/>
    <n v="9"/>
    <n v="6000"/>
    <n v="5"/>
    <n v="51300"/>
    <n v="38734.39"/>
    <n v="12565.61"/>
    <s v="Cash"/>
    <d v="2025-09-23T00:00:00"/>
  </r>
  <r>
    <s v="ORD00444"/>
    <x v="35"/>
    <x v="0"/>
    <s v="Maharashtra"/>
    <x v="5"/>
    <s v="Tech Solutions"/>
    <s v="Electronics"/>
    <s v="Keyboard"/>
    <n v="10"/>
    <n v="1500"/>
    <n v="10"/>
    <n v="13500"/>
    <n v="9749.58"/>
    <n v="3750.42"/>
    <s v="Card"/>
    <d v="2025-02-27T00:00:00"/>
  </r>
  <r>
    <s v="ORD00445"/>
    <x v="96"/>
    <x v="1"/>
    <s v="Delhi"/>
    <x v="0"/>
    <s v="Global Mart"/>
    <s v="Furniture"/>
    <s v="Office Chair"/>
    <n v="3"/>
    <n v="6000"/>
    <n v="0"/>
    <n v="18000"/>
    <n v="12235.53"/>
    <n v="5764.47"/>
    <s v="UPI"/>
    <d v="2025-11-28T00:00:00"/>
  </r>
  <r>
    <s v="ORD00446"/>
    <x v="257"/>
    <x v="2"/>
    <s v="Odisha"/>
    <x v="2"/>
    <s v="Global Mart"/>
    <s v="Furniture"/>
    <s v="Desk"/>
    <n v="3"/>
    <n v="10000"/>
    <n v="0"/>
    <n v="30000"/>
    <n v="21949.96"/>
    <n v="8050.04"/>
    <s v="Cash"/>
    <d v="2025-12-13T00:00:00"/>
  </r>
  <r>
    <s v="ORD00447"/>
    <x v="258"/>
    <x v="3"/>
    <s v="Karnataka"/>
    <x v="0"/>
    <s v="Global Mart"/>
    <s v="Furniture"/>
    <s v="Desk"/>
    <n v="6"/>
    <n v="10000"/>
    <n v="5"/>
    <n v="57000"/>
    <n v="38938.53"/>
    <n v="18061.47"/>
    <s v="Net Banking"/>
    <d v="2025-10-15T00:00:00"/>
  </r>
  <r>
    <s v="ORD00448"/>
    <x v="95"/>
    <x v="1"/>
    <s v="Punjab"/>
    <x v="3"/>
    <s v="Prime Stores"/>
    <s v="Furniture"/>
    <s v="Office Chair"/>
    <n v="4"/>
    <n v="6000"/>
    <n v="0"/>
    <n v="24000"/>
    <n v="20229.5"/>
    <n v="3770.5"/>
    <s v="UPI"/>
    <d v="2025-08-24T00:00:00"/>
  </r>
  <r>
    <s v="ORD00449"/>
    <x v="259"/>
    <x v="0"/>
    <s v="Gujarat"/>
    <x v="1"/>
    <s v="Tech Solutions"/>
    <s v="Furniture"/>
    <s v="Desk"/>
    <n v="8"/>
    <n v="10000"/>
    <n v="10"/>
    <n v="72000"/>
    <n v="63905.49"/>
    <n v="8094.51"/>
    <s v="Net Banking"/>
    <d v="2025-03-16T00:00:00"/>
  </r>
  <r>
    <s v="ORD00450"/>
    <x v="260"/>
    <x v="2"/>
    <s v="Odisha"/>
    <x v="4"/>
    <s v="Global Mart"/>
    <s v="Accessories"/>
    <s v="USB Drive"/>
    <n v="1"/>
    <n v="900"/>
    <n v="10"/>
    <n v="810"/>
    <n v="528.1"/>
    <n v="281.89999999999998"/>
    <s v="UPI"/>
    <d v="2025-09-12T00:00:00"/>
  </r>
  <r>
    <s v="ORD00451"/>
    <x v="91"/>
    <x v="2"/>
    <s v="West Bengal"/>
    <x v="5"/>
    <s v="Vision Corp"/>
    <s v="Furniture"/>
    <s v="Desk"/>
    <n v="9"/>
    <n v="10000"/>
    <n v="10"/>
    <n v="81000"/>
    <n v="72778.97"/>
    <n v="8221.0300000000007"/>
    <s v="Cash"/>
    <d v="2025-04-09T00:00:00"/>
  </r>
  <r>
    <s v="ORD00452"/>
    <x v="191"/>
    <x v="0"/>
    <s v="Gujarat"/>
    <x v="4"/>
    <s v="Prime Stores"/>
    <s v="Electronics"/>
    <s v="Keyboard"/>
    <n v="2"/>
    <n v="1500"/>
    <n v="0"/>
    <n v="3000"/>
    <n v="2269.58"/>
    <n v="730.42"/>
    <s v="Cash"/>
    <d v="2025-08-28T00:00:00"/>
  </r>
  <r>
    <s v="ORD00453"/>
    <x v="261"/>
    <x v="3"/>
    <s v="Telangana"/>
    <x v="4"/>
    <s v="XYZ Ltd"/>
    <s v="Furniture"/>
    <s v="Office Chair"/>
    <n v="3"/>
    <n v="6000"/>
    <n v="15"/>
    <n v="15300"/>
    <n v="10825.73"/>
    <n v="4474.2700000000004"/>
    <s v="Net Banking"/>
    <d v="2025-11-20T00:00:00"/>
  </r>
  <r>
    <s v="ORD00454"/>
    <x v="120"/>
    <x v="3"/>
    <s v="Telangana"/>
    <x v="1"/>
    <s v="ABC Pvt Ltd"/>
    <s v="Furniture"/>
    <s v="Desk"/>
    <n v="3"/>
    <n v="10000"/>
    <n v="10"/>
    <n v="27000"/>
    <n v="17807.8"/>
    <n v="9192.2000000000007"/>
    <s v="Net Banking"/>
    <d v="2025-05-05T00:00:00"/>
  </r>
  <r>
    <s v="ORD00455"/>
    <x v="262"/>
    <x v="0"/>
    <s v="Maharashtra"/>
    <x v="1"/>
    <s v="Global Mart"/>
    <s v="Accessories"/>
    <s v="Mouse"/>
    <n v="1"/>
    <n v="800"/>
    <n v="5"/>
    <n v="760"/>
    <n v="553.54999999999995"/>
    <n v="206.45"/>
    <s v="Net Banking"/>
    <s v="15-Nov-2025"/>
  </r>
  <r>
    <s v="ORD00456"/>
    <x v="109"/>
    <x v="2"/>
    <s v="West Bengal"/>
    <x v="1"/>
    <s v="XYZ Ltd"/>
    <s v="Furniture"/>
    <s v="Office Chair"/>
    <n v="9"/>
    <n v="6000"/>
    <n v="0"/>
    <n v="54000"/>
    <n v="39178.47"/>
    <n v="14821.53"/>
    <s v="Cash"/>
    <d v="2025-02-15T00:00:00"/>
  </r>
  <r>
    <s v="ORD00457"/>
    <x v="89"/>
    <x v="1"/>
    <s v="Delhi"/>
    <x v="5"/>
    <s v="XYZ Ltd"/>
    <s v="Electronics"/>
    <s v="Keyboard"/>
    <n v="6"/>
    <n v="1500"/>
    <n v="15"/>
    <n v="7650"/>
    <n v="6536.16"/>
    <n v="1113.8399999999999"/>
    <s v="UPI"/>
    <d v="2025-07-02T00:00:00"/>
  </r>
  <r>
    <s v="ORD00458"/>
    <x v="263"/>
    <x v="0"/>
    <s v="Gujarat"/>
    <x v="4"/>
    <s v="Tech Solutions"/>
    <s v="Accessories"/>
    <s v="Mouse"/>
    <n v="6"/>
    <n v="800"/>
    <n v="5"/>
    <n v="4560"/>
    <n v="3502.87"/>
    <n v="1057.1300000000001"/>
    <s v="UPI"/>
    <d v="2025-08-19T00:00:00"/>
  </r>
  <r>
    <s v="ORD00459"/>
    <x v="155"/>
    <x v="1"/>
    <s v="Haryana"/>
    <x v="4"/>
    <s v="XYZ Ltd"/>
    <s v="Electronics"/>
    <s v="Keyboard"/>
    <n v="7"/>
    <n v="1500"/>
    <n v="0"/>
    <n v="10500"/>
    <n v="7315.39"/>
    <n v="3184.61"/>
    <s v="Card"/>
    <d v="2025-06-16T00:00:00"/>
  </r>
  <r>
    <s v="ORD00460"/>
    <x v="143"/>
    <x v="3"/>
    <s v="Karnataka"/>
    <x v="1"/>
    <s v="Prime Stores"/>
    <s v="Electronics"/>
    <s v="Laptop"/>
    <n v="4"/>
    <n v="55000"/>
    <n v="15"/>
    <n v="187000"/>
    <n v="131547.51"/>
    <n v="55452.49"/>
    <s v="UPI"/>
    <d v="2025-07-08T00:00:00"/>
  </r>
  <r>
    <s v="ORD00461"/>
    <x v="141"/>
    <x v="2"/>
    <s v="Odisha"/>
    <x v="2"/>
    <s v="Vision Corp"/>
    <s v="Electronics"/>
    <s v="Laptop"/>
    <n v="4"/>
    <n v="55000"/>
    <n v="5"/>
    <n v="209000"/>
    <n v="158316.98000000001"/>
    <n v="50683.02"/>
    <s v="UPI"/>
    <d v="2025-06-23T00:00:00"/>
  </r>
  <r>
    <s v="ORD00462"/>
    <x v="186"/>
    <x v="3"/>
    <s v="Tamil Nadu"/>
    <x v="1"/>
    <s v="Global Mart"/>
    <s v="Furniture"/>
    <s v="Office Chair"/>
    <n v="3"/>
    <n v="6000"/>
    <n v="15"/>
    <n v="15300"/>
    <n v="12437.58"/>
    <n v="2862.42"/>
    <s v="Cash"/>
    <d v="2025-10-26T00:00:00"/>
  </r>
  <r>
    <s v="ORD00463"/>
    <x v="264"/>
    <x v="0"/>
    <s v="Gujarat"/>
    <x v="1"/>
    <s v="Global Mart"/>
    <s v="Electronics"/>
    <s v="Laptop"/>
    <n v="6"/>
    <n v="55000"/>
    <n v="10"/>
    <n v="297000"/>
    <n v="241767.16"/>
    <n v="55232.84"/>
    <s v="Card"/>
    <d v="2025-07-30T00:00:00"/>
  </r>
  <r>
    <s v="ORD00464"/>
    <x v="265"/>
    <x v="3"/>
    <s v="Tamil Nadu"/>
    <x v="2"/>
    <s v="XYZ Ltd"/>
    <s v="Accessories"/>
    <s v="USB Drive"/>
    <n v="3"/>
    <n v="900"/>
    <n v="15"/>
    <n v="2295"/>
    <n v="1861.78"/>
    <n v="433.22"/>
    <s v="Card"/>
    <d v="2025-09-09T00:00:00"/>
  </r>
  <r>
    <s v="ORD00465"/>
    <x v="164"/>
    <x v="3"/>
    <s v="Karnataka"/>
    <x v="2"/>
    <s v="XYZ Ltd"/>
    <s v="Accessories"/>
    <s v="Headset"/>
    <n v="4"/>
    <n v="2500"/>
    <n v="5"/>
    <n v="9500"/>
    <n v="8367.9699999999993"/>
    <n v="1132.03"/>
    <s v="Net Banking"/>
    <d v="2025-12-11T00:00:00"/>
  </r>
  <r>
    <s v="ORD00466"/>
    <x v="182"/>
    <x v="3"/>
    <s v="Tamil Nadu"/>
    <x v="4"/>
    <s v="Prime Stores"/>
    <s v="Furniture"/>
    <s v="Desk"/>
    <n v="10"/>
    <n v="10000"/>
    <n v="10"/>
    <n v="90000"/>
    <n v="62267.45"/>
    <n v="27732.55"/>
    <s v="Net Banking"/>
    <d v="2025-04-04T00:00:00"/>
  </r>
  <r>
    <s v="ORD00467"/>
    <x v="157"/>
    <x v="2"/>
    <s v="West Bengal"/>
    <x v="0"/>
    <s v="ABC Pvt Ltd"/>
    <s v="Accessories"/>
    <s v="Mouse"/>
    <n v="1"/>
    <n v="800"/>
    <n v="5"/>
    <n v="760"/>
    <n v="589.63"/>
    <n v="170.37"/>
    <s v="Cash"/>
    <d v="2025-01-19T00:00:00"/>
  </r>
  <r>
    <s v="ORD00468"/>
    <x v="76"/>
    <x v="0"/>
    <s v="Maharashtra"/>
    <x v="5"/>
    <s v="Tech Solutions"/>
    <s v="Accessories"/>
    <s v="Mouse"/>
    <n v="3"/>
    <n v="800"/>
    <n v="10"/>
    <n v="2160"/>
    <n v="1558.05"/>
    <n v="601.95000000000005"/>
    <s v="Cash"/>
    <d v="2025-09-10T00:00:00"/>
  </r>
  <r>
    <s v="ORD00469"/>
    <x v="57"/>
    <x v="0"/>
    <s v="Maharashtra"/>
    <x v="2"/>
    <s v="ABC Pvt Ltd"/>
    <s v="Electronics"/>
    <s v="Keyboard"/>
    <n v="10"/>
    <n v="1500"/>
    <n v="10"/>
    <n v="13500"/>
    <n v="10497.87"/>
    <n v="3002.13"/>
    <s v="Cash"/>
    <d v="2025-09-28T00:00:00"/>
  </r>
  <r>
    <s v="ORD00470"/>
    <x v="137"/>
    <x v="1"/>
    <s v="Haryana"/>
    <x v="0"/>
    <s v="Global Mart"/>
    <s v="Electronics"/>
    <s v="Keyboard"/>
    <n v="8"/>
    <n v="1500"/>
    <n v="0"/>
    <n v="12000"/>
    <n v="9506.77"/>
    <n v="2493.23"/>
    <s v="Card"/>
    <d v="2025-12-08T00:00:00"/>
  </r>
  <r>
    <s v="ORD00471"/>
    <x v="186"/>
    <x v="0"/>
    <s v="Maharashtra"/>
    <x v="5"/>
    <s v="XYZ Ltd"/>
    <s v="Electronics"/>
    <s v="Laptop"/>
    <n v="7"/>
    <n v="55000"/>
    <n v="5"/>
    <n v="365750"/>
    <n v="315666.78999999998"/>
    <n v="50083.21"/>
    <s v="Cash"/>
    <d v="2025-10-26T00:00:00"/>
  </r>
  <r>
    <s v="ORD00472"/>
    <x v="168"/>
    <x v="3"/>
    <s v="Karnataka"/>
    <x v="1"/>
    <s v="XYZ Ltd"/>
    <s v="Electronics"/>
    <s v="Monitor"/>
    <n v="4"/>
    <n v="12000"/>
    <n v="10"/>
    <n v="43200"/>
    <n v="32132.09"/>
    <n v="11067.91"/>
    <s v="Cash"/>
    <d v="2025-02-23T00:00:00"/>
  </r>
  <r>
    <s v="ORD00473"/>
    <x v="56"/>
    <x v="0"/>
    <s v="Maharashtra"/>
    <x v="2"/>
    <s v="Tech Solutions"/>
    <s v="Furniture"/>
    <s v="Desk"/>
    <n v="5"/>
    <n v="10000"/>
    <n v="0"/>
    <n v="50000"/>
    <n v="39497.51"/>
    <n v="10502.49"/>
    <s v="Card"/>
    <d v="2025-12-26T00:00:00"/>
  </r>
  <r>
    <s v="ORD00474"/>
    <x v="133"/>
    <x v="3"/>
    <s v="Karnataka"/>
    <x v="1"/>
    <s v="Prime Stores"/>
    <s v="Accessories"/>
    <s v="Mouse"/>
    <n v="10"/>
    <n v="800"/>
    <n v="10"/>
    <n v="7200"/>
    <n v="5268.63"/>
    <n v="1931.37"/>
    <s v="UPI"/>
    <d v="2025-05-20T00:00:00"/>
  </r>
  <r>
    <s v="ORD00475"/>
    <x v="224"/>
    <x v="1"/>
    <s v="Haryana"/>
    <x v="3"/>
    <s v="Tech Solutions"/>
    <s v="Furniture"/>
    <s v="Office Chair"/>
    <n v="5"/>
    <n v="6000"/>
    <n v="10"/>
    <n v="27000"/>
    <n v="19344.13"/>
    <n v="7655.87"/>
    <s v="Net Banking"/>
    <d v="2025-11-10T00:00:00"/>
  </r>
  <r>
    <s v="ORD00476"/>
    <x v="217"/>
    <x v="2"/>
    <s v="Odisha"/>
    <x v="5"/>
    <s v="Prime Stores"/>
    <s v="Electronics"/>
    <s v="Monitor"/>
    <n v="8"/>
    <n v="12000"/>
    <n v="5"/>
    <n v="91200"/>
    <n v="64623.43"/>
    <n v="26576.57"/>
    <s v="Cash"/>
    <d v="2025-03-21T00:00:00"/>
  </r>
  <r>
    <s v="ORD00477"/>
    <x v="26"/>
    <x v="2"/>
    <s v="Odisha"/>
    <x v="1"/>
    <s v="Tech Solutions"/>
    <s v="Electronics"/>
    <s v="Monitor"/>
    <n v="9"/>
    <n v="12000"/>
    <n v="5"/>
    <n v="102600"/>
    <n v="89713.51"/>
    <n v="12886.49"/>
    <s v="Net Banking"/>
    <d v="2025-06-30T00:00:00"/>
  </r>
  <r>
    <s v="ORD00478"/>
    <x v="266"/>
    <x v="3"/>
    <s v="Telangana"/>
    <x v="0"/>
    <s v="Vision Corp"/>
    <s v="Furniture"/>
    <s v="Office Chair"/>
    <n v="4"/>
    <n v="6000"/>
    <n v="0"/>
    <n v="24000"/>
    <n v="21369.360000000001"/>
    <n v="2630.64"/>
    <s v="Card"/>
    <d v="2025-09-07T00:00:00"/>
  </r>
  <r>
    <s v="ORD00479"/>
    <x v="108"/>
    <x v="2"/>
    <s v="Odisha"/>
    <x v="2"/>
    <s v="Vision Corp"/>
    <s v="Furniture"/>
    <s v="Desk"/>
    <n v="9"/>
    <n v="10000"/>
    <n v="5"/>
    <n v="85500"/>
    <n v="68846.86"/>
    <n v="16653.14"/>
    <s v="Card"/>
    <d v="2025-01-25T00:00:00"/>
  </r>
  <r>
    <s v="ORD00480"/>
    <x v="109"/>
    <x v="1"/>
    <s v="Delhi"/>
    <x v="0"/>
    <s v="Tech Solutions"/>
    <s v="Furniture"/>
    <s v="Office Chair"/>
    <n v="7"/>
    <n v="6000"/>
    <n v="15"/>
    <n v="35700"/>
    <n v="26341.84"/>
    <n v="9358.16"/>
    <s v="Cash"/>
    <d v="2025-02-15T00:00:00"/>
  </r>
  <r>
    <s v="ORD00481"/>
    <x v="8"/>
    <x v="1"/>
    <s v="Punjab"/>
    <x v="3"/>
    <s v="Prime Stores"/>
    <s v="Accessories"/>
    <s v="Mouse"/>
    <n v="9"/>
    <n v="800"/>
    <n v="0"/>
    <n v="7200"/>
    <n v="5357.74"/>
    <n v="1842.26"/>
    <s v="Net Banking"/>
    <d v="2025-07-12T00:00:00"/>
  </r>
  <r>
    <s v="ORD00482"/>
    <x v="235"/>
    <x v="0"/>
    <s v="Maharashtra"/>
    <x v="4"/>
    <s v="Tech Solutions"/>
    <s v="Accessories"/>
    <s v="Headset"/>
    <n v="5"/>
    <n v="2500"/>
    <n v="5"/>
    <n v="11875"/>
    <n v="9550.83"/>
    <n v="2324.17"/>
    <s v="Card"/>
    <d v="2025-11-18T00:00:00"/>
  </r>
  <r>
    <s v="ORD00483"/>
    <x v="127"/>
    <x v="1"/>
    <s v="Delhi"/>
    <x v="4"/>
    <s v="Prime Stores"/>
    <s v="Furniture"/>
    <s v="Office Chair"/>
    <n v="3"/>
    <n v="6000"/>
    <n v="0"/>
    <n v="18000"/>
    <n v="13263.34"/>
    <n v="4736.66"/>
    <s v="Cash"/>
    <d v="2025-01-14T00:00:00"/>
  </r>
  <r>
    <s v="ORD00484"/>
    <x v="237"/>
    <x v="3"/>
    <s v="Tamil Nadu"/>
    <x v="5"/>
    <s v="ABC Pvt Ltd"/>
    <s v="Accessories"/>
    <s v="USB Drive"/>
    <n v="8"/>
    <n v="900"/>
    <n v="5"/>
    <n v="6840"/>
    <n v="5836.64"/>
    <n v="1003.36"/>
    <s v="Card"/>
    <d v="2025-04-01T00:00:00"/>
  </r>
  <r>
    <s v="ORD00485"/>
    <x v="37"/>
    <x v="2"/>
    <s v="West Bengal"/>
    <x v="2"/>
    <s v="Tech Solutions"/>
    <s v="Furniture"/>
    <s v="Office Chair"/>
    <n v="5"/>
    <n v="6000"/>
    <n v="5"/>
    <n v="28500"/>
    <n v="22289.38"/>
    <n v="6210.62"/>
    <s v="Net Banking"/>
    <d v="2025-04-18T00:00:00"/>
  </r>
  <r>
    <s v="ORD00486"/>
    <x v="108"/>
    <x v="1"/>
    <s v="Haryana"/>
    <x v="1"/>
    <s v="Prime Stores"/>
    <s v="Electronics"/>
    <s v="Monitor"/>
    <n v="10"/>
    <n v="12000"/>
    <n v="15"/>
    <n v="102000"/>
    <n v="91494.44"/>
    <n v="10505.56"/>
    <s v="Card"/>
    <d v="2025-01-25T00:00:00"/>
  </r>
  <r>
    <s v="ORD00487"/>
    <x v="12"/>
    <x v="1"/>
    <s v="Haryana"/>
    <x v="0"/>
    <s v="Tech Solutions"/>
    <s v="Furniture"/>
    <s v="Desk"/>
    <n v="1"/>
    <n v="10000"/>
    <n v="10"/>
    <n v="9000"/>
    <n v="6098.52"/>
    <n v="2901.48"/>
    <s v="Card"/>
    <d v="2025-02-28T00:00:00"/>
  </r>
  <r>
    <s v="ORD00488"/>
    <x v="267"/>
    <x v="0"/>
    <s v="Gujarat"/>
    <x v="3"/>
    <s v="Tech Solutions"/>
    <s v="Furniture"/>
    <s v="Desk"/>
    <n v="5"/>
    <n v="10000"/>
    <n v="5"/>
    <n v="47500"/>
    <n v="38310.480000000003"/>
    <n v="9189.52"/>
    <s v="Card"/>
    <d v="2025-03-07T00:00:00"/>
  </r>
  <r>
    <s v="ORD00489"/>
    <x v="207"/>
    <x v="2"/>
    <s v="Odisha"/>
    <x v="4"/>
    <s v="Global Mart"/>
    <s v="Electronics"/>
    <s v="Keyboard"/>
    <n v="6"/>
    <n v="1500"/>
    <n v="0"/>
    <n v="9000"/>
    <n v="8083.31"/>
    <n v="916.69"/>
    <s v="Card"/>
    <d v="2025-06-24T00:00:00"/>
  </r>
  <r>
    <s v="ORD00490"/>
    <x v="174"/>
    <x v="2"/>
    <s v="West Bengal"/>
    <x v="1"/>
    <s v="Vision Corp"/>
    <s v="Electronics"/>
    <s v="Laptop"/>
    <n v="4"/>
    <n v="55000"/>
    <n v="0"/>
    <n v="220000"/>
    <n v="196896.4"/>
    <n v="23103.599999999999"/>
    <s v="Cash"/>
    <d v="2025-08-04T00:00:00"/>
  </r>
  <r>
    <s v="ORD00491"/>
    <x v="194"/>
    <x v="3"/>
    <s v="Karnataka"/>
    <x v="1"/>
    <s v="XYZ Ltd"/>
    <s v="Accessories"/>
    <s v="Mouse"/>
    <n v="4"/>
    <n v="800"/>
    <n v="5"/>
    <n v="3040"/>
    <n v="1989.37"/>
    <n v="1050.6300000000001"/>
    <s v="Card"/>
    <d v="2025-04-17T00:00:00"/>
  </r>
  <r>
    <s v="ORD00492"/>
    <x v="268"/>
    <x v="3"/>
    <s v="Telangana"/>
    <x v="5"/>
    <s v="ABC Pvt Ltd"/>
    <s v="Furniture"/>
    <s v="Office Chair"/>
    <n v="7"/>
    <n v="6000"/>
    <n v="10"/>
    <n v="37800"/>
    <n v="25119.27"/>
    <n v="12680.73"/>
    <s v="Cash"/>
    <d v="2025-02-26T00:00:00"/>
  </r>
  <r>
    <s v="ORD00493"/>
    <x v="269"/>
    <x v="1"/>
    <s v="Punjab"/>
    <x v="3"/>
    <s v="Global Mart"/>
    <s v="Furniture"/>
    <s v="Desk"/>
    <n v="5"/>
    <n v="10000"/>
    <n v="10"/>
    <n v="45000"/>
    <n v="35079.57"/>
    <n v="9920.43"/>
    <s v="Card"/>
    <d v="2025-04-20T00:00:00"/>
  </r>
  <r>
    <s v="ORD00494"/>
    <x v="258"/>
    <x v="1"/>
    <s v="Punjab"/>
    <x v="5"/>
    <s v="Prime Stores"/>
    <s v="Furniture"/>
    <s v="Desk"/>
    <n v="7"/>
    <n v="10000"/>
    <n v="15"/>
    <n v="59500"/>
    <n v="45330.27"/>
    <n v="14169.73"/>
    <s v="Card"/>
    <d v="2025-10-15T00:00:00"/>
  </r>
  <r>
    <s v="ORD00495"/>
    <x v="24"/>
    <x v="3"/>
    <s v="Karnataka"/>
    <x v="2"/>
    <s v="ABC Pvt Ltd"/>
    <s v="Accessories"/>
    <s v="USB Drive"/>
    <n v="5"/>
    <n v="900"/>
    <n v="10"/>
    <n v="4050"/>
    <n v="2849.51"/>
    <n v="1200.49"/>
    <s v="Cash"/>
    <d v="2025-07-07T00:00:00"/>
  </r>
  <r>
    <s v="ORD00496"/>
    <x v="40"/>
    <x v="1"/>
    <s v="Haryana"/>
    <x v="3"/>
    <s v="Global Mart"/>
    <s v="Electronics"/>
    <s v="Keyboard"/>
    <n v="8"/>
    <n v="1500"/>
    <n v="10"/>
    <n v="10800"/>
    <n v="7649.64"/>
    <n v="3150.36"/>
    <s v="Card"/>
    <d v="2025-12-31T00:00:00"/>
  </r>
  <r>
    <s v="ORD00497"/>
    <x v="148"/>
    <x v="1"/>
    <s v="Haryana"/>
    <x v="3"/>
    <s v="XYZ Ltd"/>
    <s v="Electronics"/>
    <s v="Laptop"/>
    <n v="10"/>
    <n v="55000"/>
    <n v="10"/>
    <n v="495000"/>
    <n v="395817.72"/>
    <n v="99182.28"/>
    <s v="Net Banking"/>
    <d v="2025-01-03T00:00:00"/>
  </r>
  <r>
    <s v="ORD00498"/>
    <x v="173"/>
    <x v="2"/>
    <s v="West Bengal"/>
    <x v="0"/>
    <s v="Prime Stores"/>
    <s v="Electronics"/>
    <s v="Laptop"/>
    <n v="1"/>
    <n v="55000"/>
    <n v="10"/>
    <n v="49500"/>
    <n v="39326.07"/>
    <n v="10173.93"/>
    <s v="Net Banking"/>
    <d v="2025-03-02T00:00:00"/>
  </r>
  <r>
    <s v="ORD00499"/>
    <x v="270"/>
    <x v="3"/>
    <s v="Telangana"/>
    <x v="3"/>
    <s v="Global Mart"/>
    <s v="Electronics"/>
    <s v="Monitor"/>
    <n v="1"/>
    <n v="12000"/>
    <n v="5"/>
    <n v="11400"/>
    <n v="9641.4"/>
    <n v="1758.6"/>
    <s v="Card"/>
    <d v="2025-05-30T00:00:00"/>
  </r>
  <r>
    <s v="ORD00500"/>
    <x v="93"/>
    <x v="0"/>
    <s v="Maharashtra"/>
    <x v="4"/>
    <s v="XYZ Ltd"/>
    <s v="Electronics"/>
    <s v="Keyboard"/>
    <n v="8"/>
    <n v="1500"/>
    <n v="15"/>
    <n v="10200"/>
    <n v="6851.53"/>
    <n v="3348.47"/>
    <s v="Cash"/>
    <d v="2025-12-05T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00001"/>
    <s v="18-Jan-2025"/>
    <x v="0"/>
    <s v="Maharashtra"/>
    <s v="Priya"/>
    <s v="XYZ Ltd"/>
    <x v="0"/>
    <s v="Monitor"/>
    <n v="6"/>
    <n v="12000"/>
    <n v="15"/>
    <n v="61200"/>
    <n v="51357.36"/>
    <n v="9842.64"/>
    <s v="Cash"/>
  </r>
  <r>
    <s v="ORD00002"/>
    <s v="11-Oct-2025"/>
    <x v="1"/>
    <s v="Haryana"/>
    <s v="Rahul"/>
    <s v="XYZ Ltd"/>
    <x v="1"/>
    <s v="Office Chair"/>
    <n v="10"/>
    <n v="6000"/>
    <n v="10"/>
    <n v="54000"/>
    <n v="48335.28"/>
    <n v="5664.72"/>
    <s v="Net Banking"/>
  </r>
  <r>
    <s v="ORD00003"/>
    <s v="24-Sep-2025"/>
    <x v="2"/>
    <s v="Odisha"/>
    <s v="Anita"/>
    <s v="XYZ Ltd"/>
    <x v="1"/>
    <s v="Office Chair"/>
    <n v="8"/>
    <n v="6000"/>
    <n v="10"/>
    <n v="43200"/>
    <n v="35469.01"/>
    <n v="7730.99"/>
    <s v="UPI"/>
  </r>
  <r>
    <s v="ORD00004"/>
    <s v="28-May-2025"/>
    <x v="2"/>
    <s v="Odisha"/>
    <s v="Arjun"/>
    <s v="Global Mart"/>
    <x v="2"/>
    <s v="USB Drive"/>
    <n v="2"/>
    <n v="900"/>
    <n v="10"/>
    <n v="1620"/>
    <n v="1310.0899999999999"/>
    <n v="309.91000000000003"/>
    <s v="Net Banking"/>
  </r>
  <r>
    <s v="ORD00005"/>
    <s v="31-Jan-2025"/>
    <x v="3"/>
    <s v="Telangana"/>
    <s v="Priya"/>
    <s v="Prime Stores"/>
    <x v="0"/>
    <s v="Laptop"/>
    <n v="10"/>
    <n v="55000"/>
    <n v="5"/>
    <n v="522500"/>
    <n v="376706.09"/>
    <n v="145793.91"/>
    <s v="Card"/>
  </r>
  <r>
    <s v="ORD00006"/>
    <s v="05-Nov-2025"/>
    <x v="1"/>
    <s v="Haryana"/>
    <s v="Priya"/>
    <s v="Global Mart"/>
    <x v="0"/>
    <s v="Laptop"/>
    <n v="5"/>
    <n v="55000"/>
    <n v="10"/>
    <n v="247500"/>
    <n v="191855.13"/>
    <n v="55644.87"/>
    <s v="Card"/>
  </r>
  <r>
    <s v="ORD00007"/>
    <s v="11-Feb-2025"/>
    <x v="1"/>
    <s v="Haryana"/>
    <s v="Priya"/>
    <s v="Prime Stores"/>
    <x v="1"/>
    <s v="Office Chair"/>
    <n v="3"/>
    <n v="6000"/>
    <n v="15"/>
    <n v="15300"/>
    <n v="10692.52"/>
    <n v="4607.4799999999996"/>
    <s v="Card"/>
  </r>
  <r>
    <s v="ORD00008"/>
    <s v="28-Mar-2025"/>
    <x v="3"/>
    <s v="Telangana"/>
    <s v="Sneha"/>
    <s v="Prime Stores"/>
    <x v="2"/>
    <s v="USB Drive"/>
    <n v="7"/>
    <n v="900"/>
    <n v="0"/>
    <n v="6300"/>
    <n v="4517.74"/>
    <n v="1782.26"/>
    <s v="Card"/>
  </r>
  <r>
    <s v="ORD00009"/>
    <s v="12-Jul-2025"/>
    <x v="2"/>
    <s v="West Bengal"/>
    <s v="Sneha"/>
    <s v="Vision Corp"/>
    <x v="0"/>
    <s v="Keyboard"/>
    <n v="7"/>
    <n v="1500"/>
    <n v="5"/>
    <n v="9975"/>
    <n v="8501.52"/>
    <n v="1473.48"/>
    <s v="UPI"/>
  </r>
  <r>
    <s v="ORD00010"/>
    <s v="18-Dec-2025"/>
    <x v="2"/>
    <s v="Odisha"/>
    <s v="Priya"/>
    <s v="Global Mart"/>
    <x v="0"/>
    <s v="Laptop"/>
    <n v="6"/>
    <n v="55000"/>
    <n v="0"/>
    <n v="330000"/>
    <n v="248968.11"/>
    <n v="81031.89"/>
    <s v="Cash"/>
  </r>
  <r>
    <s v="ORD00011"/>
    <s v="25-Nov-2025"/>
    <x v="0"/>
    <s v="Gujarat"/>
    <s v="Arjun"/>
    <s v="Vision Corp"/>
    <x v="2"/>
    <s v="Headset"/>
    <n v="7"/>
    <n v="2500"/>
    <n v="0"/>
    <n v="17500"/>
    <n v="15408.14"/>
    <n v="2091.86"/>
    <s v="Net Banking"/>
  </r>
  <r>
    <s v="ORD00012"/>
    <s v="20-Feb-2025"/>
    <x v="1"/>
    <s v="Delhi"/>
    <s v="Kiran"/>
    <s v="XYZ Ltd"/>
    <x v="2"/>
    <s v="Headset"/>
    <n v="6"/>
    <n v="2500"/>
    <n v="5"/>
    <n v="14250"/>
    <n v="12303.51"/>
    <n v="1946.49"/>
    <s v="UPI"/>
  </r>
  <r>
    <s v="ORD00013"/>
    <s v="28-Feb-2025"/>
    <x v="3"/>
    <s v="Karnataka"/>
    <s v="Priya"/>
    <s v="ABC Pvt Ltd"/>
    <x v="2"/>
    <s v="Headset"/>
    <n v="10"/>
    <n v="2500"/>
    <n v="5"/>
    <n v="23750"/>
    <n v="16851.3"/>
    <n v="6898.7"/>
    <s v="Card"/>
  </r>
  <r>
    <s v="ORD00014"/>
    <s v="30-Jan-2025"/>
    <x v="2"/>
    <s v="West Bengal"/>
    <s v="Kiran"/>
    <s v="XYZ Ltd"/>
    <x v="2"/>
    <s v="USB Drive"/>
    <n v="4"/>
    <n v="900"/>
    <n v="5"/>
    <n v="3420"/>
    <n v="2819.67"/>
    <n v="600.33000000000004"/>
    <s v="Cash"/>
  </r>
  <r>
    <s v="ORD00015"/>
    <s v="27-Jun-2025"/>
    <x v="0"/>
    <s v="Gujarat"/>
    <s v="Sneha"/>
    <s v="Tech Solutions"/>
    <x v="0"/>
    <s v="Monitor"/>
    <n v="5"/>
    <n v="12000"/>
    <n v="10"/>
    <n v="54000"/>
    <n v="39256.550000000003"/>
    <n v="14743.45"/>
    <s v="UPI"/>
  </r>
  <r>
    <s v="ORD00016"/>
    <s v="03-Jul-2025"/>
    <x v="2"/>
    <s v="West Bengal"/>
    <s v="Priya"/>
    <s v="Prime Stores"/>
    <x v="0"/>
    <s v="Keyboard"/>
    <n v="10"/>
    <n v="1500"/>
    <n v="10"/>
    <n v="13500"/>
    <n v="9924.7800000000007"/>
    <n v="3575.22"/>
    <s v="UPI"/>
  </r>
  <r>
    <s v="ORD00017"/>
    <s v="30-Oct-2025"/>
    <x v="3"/>
    <s v="Telangana"/>
    <s v="Sneha"/>
    <s v="Vision Corp"/>
    <x v="0"/>
    <s v="Monitor"/>
    <n v="7"/>
    <n v="12000"/>
    <n v="15"/>
    <n v="71400"/>
    <n v="46799.82"/>
    <n v="24600.18"/>
    <s v="Net Banking"/>
  </r>
  <r>
    <s v="ORD00018"/>
    <s v="17-May-2025"/>
    <x v="2"/>
    <s v="Odisha"/>
    <s v="Kiran"/>
    <s v="XYZ Ltd"/>
    <x v="1"/>
    <s v="Office Chair"/>
    <n v="1"/>
    <n v="6000"/>
    <n v="15"/>
    <n v="5100"/>
    <n v="4307.7299999999996"/>
    <n v="792.27"/>
    <s v="UPI"/>
  </r>
  <r>
    <s v="ORD00019"/>
    <s v="19-Jul-2025"/>
    <x v="3"/>
    <s v="Karnataka"/>
    <s v="Arjun"/>
    <s v="ABC Pvt Ltd"/>
    <x v="1"/>
    <s v="Desk"/>
    <n v="6"/>
    <n v="10000"/>
    <n v="0"/>
    <n v="60000"/>
    <n v="39574.47"/>
    <n v="20425.53"/>
    <s v="UPI"/>
  </r>
  <r>
    <s v="ORD00020"/>
    <s v="02-Aug-2025"/>
    <x v="1"/>
    <s v="Delhi"/>
    <s v="Arjun"/>
    <s v="Prime Stores"/>
    <x v="2"/>
    <s v="Mouse"/>
    <n v="10"/>
    <n v="800"/>
    <n v="5"/>
    <n v="7600"/>
    <n v="6327.31"/>
    <n v="1272.69"/>
    <s v="Cash"/>
  </r>
  <r>
    <s v="ORD00021"/>
    <s v="22-Jan-2025"/>
    <x v="1"/>
    <s v="Delhi"/>
    <s v="Anita"/>
    <s v="Global Mart"/>
    <x v="0"/>
    <s v="Monitor"/>
    <n v="9"/>
    <n v="12000"/>
    <n v="0"/>
    <n v="108000"/>
    <n v="77674.86"/>
    <n v="30325.14"/>
    <s v="Cash"/>
  </r>
  <r>
    <s v="ORD00022"/>
    <s v="17-Dec-2025"/>
    <x v="3"/>
    <s v="Telangana"/>
    <s v="Sneha"/>
    <s v="Global Mart"/>
    <x v="2"/>
    <s v="Headset"/>
    <n v="5"/>
    <n v="2500"/>
    <n v="15"/>
    <n v="10625"/>
    <n v="8568.06"/>
    <n v="2056.94"/>
    <s v="Net Banking"/>
  </r>
  <r>
    <s v="ORD00023"/>
    <s v="06-Feb-2025"/>
    <x v="0"/>
    <s v="Maharashtra"/>
    <s v="Anita"/>
    <s v="Vision Corp"/>
    <x v="2"/>
    <s v="Headset"/>
    <n v="2"/>
    <n v="2500"/>
    <n v="5"/>
    <n v="4750"/>
    <n v="4210.2"/>
    <n v="539.79999999999995"/>
    <s v="Card"/>
  </r>
  <r>
    <s v="ORD00024"/>
    <s v="16-Feb-2025"/>
    <x v="1"/>
    <s v="Haryana"/>
    <s v="Rahul"/>
    <s v="Prime Stores"/>
    <x v="0"/>
    <s v="Keyboard"/>
    <n v="5"/>
    <n v="1500"/>
    <n v="10"/>
    <n v="6750"/>
    <n v="4744.92"/>
    <n v="2005.08"/>
    <s v="Net Banking"/>
  </r>
  <r>
    <s v="ORD00025"/>
    <s v="07-Jul-2025"/>
    <x v="0"/>
    <s v="Gujarat"/>
    <s v="Priya"/>
    <s v="Prime Stores"/>
    <x v="0"/>
    <s v="Monitor"/>
    <n v="3"/>
    <n v="12000"/>
    <n v="5"/>
    <n v="34200"/>
    <n v="22581.33"/>
    <n v="11618.67"/>
    <s v="Cash"/>
  </r>
  <r>
    <s v="ORD00026"/>
    <s v="09-Oct-2025"/>
    <x v="2"/>
    <s v="West Bengal"/>
    <s v="Priya"/>
    <s v="ABC Pvt Ltd"/>
    <x v="1"/>
    <s v="Desk"/>
    <n v="3"/>
    <n v="10000"/>
    <n v="0"/>
    <n v="30000"/>
    <n v="22069.7"/>
    <n v="7930.3"/>
    <s v="Net Banking"/>
  </r>
  <r>
    <s v="ORD00027"/>
    <s v="30-Jun-2025"/>
    <x v="3"/>
    <s v="Karnataka"/>
    <s v="Sneha"/>
    <s v="Vision Corp"/>
    <x v="2"/>
    <s v="Headset"/>
    <n v="9"/>
    <n v="2500"/>
    <n v="15"/>
    <n v="19125"/>
    <n v="16167.01"/>
    <n v="2957.99"/>
    <s v="UPI"/>
  </r>
  <r>
    <s v="ORD00028"/>
    <s v="24-Feb-2025"/>
    <x v="3"/>
    <s v="Karnataka"/>
    <s v="Arjun"/>
    <s v="Tech Solutions"/>
    <x v="1"/>
    <s v="Office Chair"/>
    <n v="3"/>
    <n v="6000"/>
    <n v="5"/>
    <n v="17100"/>
    <n v="14521.38"/>
    <n v="2578.62"/>
    <s v="UPI"/>
  </r>
  <r>
    <s v="ORD00029"/>
    <s v="17-Sep-2025"/>
    <x v="1"/>
    <s v="Delhi"/>
    <s v="Kiran"/>
    <s v="Tech Solutions"/>
    <x v="2"/>
    <s v="USB Drive"/>
    <n v="8"/>
    <n v="900"/>
    <n v="15"/>
    <n v="6120"/>
    <n v="5361"/>
    <n v="759"/>
    <s v="UPI"/>
  </r>
  <r>
    <s v="ORD00030"/>
    <s v="04-May-2025"/>
    <x v="3"/>
    <s v="Telangana"/>
    <s v="Rahul"/>
    <s v="XYZ Ltd"/>
    <x v="2"/>
    <s v="Mouse"/>
    <n v="9"/>
    <n v="800"/>
    <n v="5"/>
    <n v="6840"/>
    <n v="5865.62"/>
    <n v="974.38"/>
    <s v="UPI"/>
  </r>
  <r>
    <s v="ORD00031"/>
    <s v="14-Feb-2025"/>
    <x v="0"/>
    <s v="Gujarat"/>
    <s v="Sneha"/>
    <s v="Prime Stores"/>
    <x v="2"/>
    <s v="Mouse"/>
    <n v="3"/>
    <n v="800"/>
    <n v="10"/>
    <n v="2160"/>
    <n v="1926.94"/>
    <n v="233.06"/>
    <s v="UPI"/>
  </r>
  <r>
    <s v="ORD00032"/>
    <s v="20-Jan-2025"/>
    <x v="0"/>
    <s v="Gujarat"/>
    <s v="Rahul"/>
    <s v="Global Mart"/>
    <x v="1"/>
    <s v="Desk"/>
    <n v="4"/>
    <n v="10000"/>
    <n v="15"/>
    <n v="34000"/>
    <n v="24174.68"/>
    <n v="9825.32"/>
    <s v="UPI"/>
  </r>
  <r>
    <s v="ORD00033"/>
    <s v="31-Aug-2025"/>
    <x v="2"/>
    <s v="West Bengal"/>
    <s v="Anita"/>
    <s v="Prime Stores"/>
    <x v="1"/>
    <s v="Desk"/>
    <n v="5"/>
    <n v="10000"/>
    <n v="10"/>
    <n v="45000"/>
    <n v="40444.199999999997"/>
    <n v="4555.8"/>
    <s v="Net Banking"/>
  </r>
  <r>
    <s v="ORD00034"/>
    <s v="14-Jul-2025"/>
    <x v="2"/>
    <s v="West Bengal"/>
    <s v="Arjun"/>
    <s v="Vision Corp"/>
    <x v="1"/>
    <s v="Office Chair"/>
    <n v="1"/>
    <n v="6000"/>
    <n v="5"/>
    <n v="5700"/>
    <n v="4186.0200000000004"/>
    <n v="1513.98"/>
    <s v="Cash"/>
  </r>
  <r>
    <s v="ORD00035"/>
    <s v="27-Aug-2025"/>
    <x v="1"/>
    <s v="Haryana"/>
    <s v="Anita"/>
    <s v="XYZ Ltd"/>
    <x v="1"/>
    <s v="Desk"/>
    <n v="5"/>
    <n v="10000"/>
    <n v="15"/>
    <n v="42500"/>
    <n v="35700.97"/>
    <n v="6799.03"/>
    <s v="Cash"/>
  </r>
  <r>
    <s v="ORD00036"/>
    <s v="27-Feb-2025"/>
    <x v="1"/>
    <s v="Haryana"/>
    <s v="Arjun"/>
    <s v="Vision Corp"/>
    <x v="0"/>
    <s v="Laptop"/>
    <n v="5"/>
    <n v="55000"/>
    <n v="0"/>
    <n v="275000"/>
    <n v="202237.09"/>
    <n v="72762.91"/>
    <s v="UPI"/>
  </r>
  <r>
    <s v="ORD00037"/>
    <s v="25-Feb-2025"/>
    <x v="1"/>
    <s v="Punjab"/>
    <s v="Arjun"/>
    <s v="Vision Corp"/>
    <x v="1"/>
    <s v="Office Chair"/>
    <n v="8"/>
    <n v="6000"/>
    <n v="5"/>
    <n v="45600"/>
    <n v="38425.82"/>
    <n v="7174.18"/>
    <s v="Card"/>
  </r>
  <r>
    <s v="ORD00038"/>
    <s v="18-Apr-2025"/>
    <x v="3"/>
    <s v="Tamil Nadu"/>
    <s v="Rahul"/>
    <s v="Tech Solutions"/>
    <x v="0"/>
    <s v="Keyboard"/>
    <n v="8"/>
    <n v="1500"/>
    <n v="0"/>
    <n v="12000"/>
    <n v="10604.15"/>
    <n v="1395.85"/>
    <s v="Net Banking"/>
  </r>
  <r>
    <s v="ORD00039"/>
    <s v="08-Jun-2025"/>
    <x v="1"/>
    <s v="Punjab"/>
    <s v="Kiran"/>
    <s v="Global Mart"/>
    <x v="1"/>
    <s v="Office Chair"/>
    <n v="5"/>
    <n v="6000"/>
    <n v="5"/>
    <n v="28500"/>
    <n v="21367.91"/>
    <n v="7132.09"/>
    <s v="Cash"/>
  </r>
  <r>
    <s v="ORD00040"/>
    <s v="29-Oct-2025"/>
    <x v="2"/>
    <s v="Odisha"/>
    <s v="Rahul"/>
    <s v="Prime Stores"/>
    <x v="2"/>
    <s v="Headset"/>
    <n v="9"/>
    <n v="2500"/>
    <n v="15"/>
    <n v="19125"/>
    <n v="13312.65"/>
    <n v="5812.35"/>
    <s v="Net Banking"/>
  </r>
  <r>
    <s v="ORD00041"/>
    <s v="31-Dec-2025"/>
    <x v="0"/>
    <s v="Maharashtra"/>
    <s v="Arjun"/>
    <s v="Global Mart"/>
    <x v="2"/>
    <s v="Mouse"/>
    <n v="6"/>
    <n v="800"/>
    <n v="15"/>
    <n v="4080"/>
    <n v="3485.64"/>
    <n v="594.36"/>
    <s v="Cash"/>
  </r>
  <r>
    <s v="ORD00042"/>
    <s v="17-Jun-2025"/>
    <x v="3"/>
    <s v="Telangana"/>
    <s v="Sneha"/>
    <s v="Prime Stores"/>
    <x v="0"/>
    <s v="Keyboard"/>
    <n v="4"/>
    <n v="1500"/>
    <n v="0"/>
    <n v="6000"/>
    <n v="4109.12"/>
    <n v="1890.88"/>
    <s v="Cash"/>
  </r>
  <r>
    <s v="ORD00043"/>
    <s v="11-Apr-2025"/>
    <x v="2"/>
    <s v="Odisha"/>
    <s v="Priya"/>
    <s v="XYZ Ltd"/>
    <x v="2"/>
    <s v="Headset"/>
    <n v="5"/>
    <n v="2500"/>
    <n v="0"/>
    <n v="12500"/>
    <n v="8506.19"/>
    <n v="3993.81"/>
    <s v="Net Banking"/>
  </r>
  <r>
    <s v="ORD00044"/>
    <s v="20-Mar-2025"/>
    <x v="0"/>
    <s v="Maharashtra"/>
    <s v="Anita"/>
    <s v="Tech Solutions"/>
    <x v="2"/>
    <s v="USB Drive"/>
    <n v="1"/>
    <n v="900"/>
    <n v="10"/>
    <n v="810"/>
    <n v="688.82"/>
    <n v="121.18"/>
    <s v="Cash"/>
  </r>
  <r>
    <s v="ORD00045"/>
    <s v="28-Apr-2025"/>
    <x v="3"/>
    <s v="Tamil Nadu"/>
    <s v="Anita"/>
    <s v="Prime Stores"/>
    <x v="0"/>
    <s v="Monitor"/>
    <n v="1"/>
    <n v="12000"/>
    <n v="0"/>
    <n v="12000"/>
    <n v="9250.42"/>
    <n v="2749.58"/>
    <s v="Card"/>
  </r>
  <r>
    <s v="ORD00046"/>
    <s v="16-Nov-2025"/>
    <x v="3"/>
    <s v="Telangana"/>
    <s v="Priya"/>
    <s v="ABC Pvt Ltd"/>
    <x v="1"/>
    <s v="Office Chair"/>
    <n v="5"/>
    <n v="6000"/>
    <n v="10"/>
    <n v="27000"/>
    <n v="24032.240000000002"/>
    <n v="2967.76"/>
    <s v="Cash"/>
  </r>
  <r>
    <s v="ORD00047"/>
    <s v="25-Jun-2025"/>
    <x v="2"/>
    <s v="Odisha"/>
    <s v="Rahul"/>
    <s v="Prime Stores"/>
    <x v="1"/>
    <s v="Office Chair"/>
    <n v="10"/>
    <n v="6000"/>
    <n v="10"/>
    <n v="54000"/>
    <n v="38767.89"/>
    <n v="15232.11"/>
    <s v="Cash"/>
  </r>
  <r>
    <s v="ORD00048"/>
    <s v="01-Nov-2025"/>
    <x v="2"/>
    <s v="West Bengal"/>
    <s v="Rahul"/>
    <s v="XYZ Ltd"/>
    <x v="2"/>
    <s v="Mouse"/>
    <n v="1"/>
    <n v="800"/>
    <n v="0"/>
    <n v="800"/>
    <n v="605.70000000000005"/>
    <n v="194.3"/>
    <s v="Net Banking"/>
  </r>
  <r>
    <s v="ORD00049"/>
    <s v="04-Feb-2025"/>
    <x v="0"/>
    <s v="Maharashtra"/>
    <s v="Sneha"/>
    <s v="XYZ Ltd"/>
    <x v="0"/>
    <s v="Laptop"/>
    <n v="3"/>
    <n v="55000"/>
    <n v="10"/>
    <n v="148500"/>
    <n v="132078.79"/>
    <n v="16421.21"/>
    <s v="Net Banking"/>
  </r>
  <r>
    <s v="ORD00050"/>
    <s v="19-Apr-2025"/>
    <x v="2"/>
    <s v="Odisha"/>
    <s v="Arjun"/>
    <s v="XYZ Ltd"/>
    <x v="2"/>
    <s v="USB Drive"/>
    <n v="1"/>
    <n v="900"/>
    <n v="0"/>
    <n v="900"/>
    <n v="608.16999999999996"/>
    <n v="291.83"/>
    <s v="Cash"/>
  </r>
  <r>
    <s v="ORD00051"/>
    <s v="16-Aug-2025"/>
    <x v="3"/>
    <s v="Telangana"/>
    <s v="Sneha"/>
    <s v="ABC Pvt Ltd"/>
    <x v="0"/>
    <s v="Laptop"/>
    <n v="9"/>
    <n v="55000"/>
    <n v="15"/>
    <n v="420750"/>
    <n v="289397.28999999998"/>
    <n v="131352.71"/>
    <s v="Card"/>
  </r>
  <r>
    <s v="ORD00052"/>
    <s v="17-Mar-2025"/>
    <x v="0"/>
    <s v="Gujarat"/>
    <s v="Arjun"/>
    <s v="ABC Pvt Ltd"/>
    <x v="0"/>
    <s v="Laptop"/>
    <n v="7"/>
    <n v="55000"/>
    <n v="15"/>
    <n v="327250"/>
    <n v="218378.3"/>
    <n v="108871.7"/>
    <s v="UPI"/>
  </r>
  <r>
    <s v="ORD00053"/>
    <s v="04-Dec-2025"/>
    <x v="2"/>
    <s v="Odisha"/>
    <s v="Arjun"/>
    <s v="Prime Stores"/>
    <x v="2"/>
    <s v="USB Drive"/>
    <n v="8"/>
    <n v="900"/>
    <n v="10"/>
    <n v="6480"/>
    <n v="5538.92"/>
    <n v="941.08"/>
    <s v="Card"/>
  </r>
  <r>
    <s v="ORD00054"/>
    <s v="28-Jun-2025"/>
    <x v="1"/>
    <s v="Punjab"/>
    <s v="Rahul"/>
    <s v="XYZ Ltd"/>
    <x v="1"/>
    <s v="Office Chair"/>
    <n v="3"/>
    <n v="6000"/>
    <n v="15"/>
    <n v="15300"/>
    <n v="10523.36"/>
    <n v="4776.6400000000003"/>
    <s v="Card"/>
  </r>
  <r>
    <s v="ORD00055"/>
    <s v="14-Sep-2025"/>
    <x v="3"/>
    <s v="Telangana"/>
    <s v="Anita"/>
    <s v="Tech Solutions"/>
    <x v="1"/>
    <s v="Office Chair"/>
    <n v="7"/>
    <n v="6000"/>
    <n v="0"/>
    <n v="42000"/>
    <n v="33942.370000000003"/>
    <n v="8057.63"/>
    <s v="Cash"/>
  </r>
  <r>
    <s v="ORD00056"/>
    <s v="17-Feb-2025"/>
    <x v="0"/>
    <s v="Gujarat"/>
    <s v="Arjun"/>
    <s v="XYZ Ltd"/>
    <x v="2"/>
    <s v="Mouse"/>
    <n v="1"/>
    <n v="800"/>
    <n v="10"/>
    <n v="720"/>
    <n v="549.79999999999995"/>
    <n v="170.2"/>
    <s v="Cash"/>
  </r>
  <r>
    <s v="ORD00057"/>
    <s v="26-Dec-2025"/>
    <x v="3"/>
    <s v="Telangana"/>
    <s v="Anita"/>
    <s v="Tech Solutions"/>
    <x v="0"/>
    <s v="Monitor"/>
    <n v="9"/>
    <n v="12000"/>
    <n v="15"/>
    <n v="91800"/>
    <n v="77716.160000000003"/>
    <n v="14083.84"/>
    <s v="UPI"/>
  </r>
  <r>
    <s v="ORD00058"/>
    <s v="28-Sep-2025"/>
    <x v="2"/>
    <s v="West Bengal"/>
    <s v="Priya"/>
    <s v="Tech Solutions"/>
    <x v="1"/>
    <s v="Desk"/>
    <n v="7"/>
    <n v="10000"/>
    <n v="15"/>
    <n v="59500"/>
    <n v="49229.39"/>
    <n v="10270.61"/>
    <s v="UPI"/>
  </r>
  <r>
    <s v="ORD00059"/>
    <s v="12-Mar-2025"/>
    <x v="3"/>
    <s v="Tamil Nadu"/>
    <s v="Arjun"/>
    <s v="Tech Solutions"/>
    <x v="0"/>
    <s v="Monitor"/>
    <n v="6"/>
    <n v="12000"/>
    <n v="10"/>
    <n v="64800"/>
    <n v="50305.39"/>
    <n v="14494.61"/>
    <s v="Cash"/>
  </r>
  <r>
    <s v="ORD00060"/>
    <s v="08-Feb-2025"/>
    <x v="3"/>
    <s v="Telangana"/>
    <s v="Kiran"/>
    <s v="Global Mart"/>
    <x v="0"/>
    <s v="Keyboard"/>
    <n v="2"/>
    <n v="1500"/>
    <n v="5"/>
    <n v="2850"/>
    <n v="2053.9699999999998"/>
    <n v="796.03"/>
    <s v="UPI"/>
  </r>
  <r>
    <s v="ORD00061"/>
    <s v="23-Jul-2025"/>
    <x v="1"/>
    <s v="Punjab"/>
    <s v="Sneha"/>
    <s v="Prime Stores"/>
    <x v="2"/>
    <s v="Mouse"/>
    <n v="8"/>
    <n v="800"/>
    <n v="0"/>
    <n v="6400"/>
    <n v="4756.0600000000004"/>
    <n v="1643.94"/>
    <s v="Card"/>
  </r>
  <r>
    <s v="ORD00062"/>
    <s v="19-Jun-2025"/>
    <x v="1"/>
    <s v="Haryana"/>
    <s v="Anita"/>
    <s v="XYZ Ltd"/>
    <x v="0"/>
    <s v="Keyboard"/>
    <n v="7"/>
    <n v="1500"/>
    <n v="5"/>
    <n v="9975"/>
    <n v="8372.33"/>
    <n v="1602.67"/>
    <s v="Cash"/>
  </r>
  <r>
    <s v="ORD00063"/>
    <s v="31-Aug-2025"/>
    <x v="1"/>
    <s v="Haryana"/>
    <s v="Kiran"/>
    <s v="XYZ Ltd"/>
    <x v="0"/>
    <s v="Monitor"/>
    <n v="10"/>
    <n v="12000"/>
    <n v="10"/>
    <n v="108000"/>
    <n v="75108.070000000007"/>
    <n v="32891.93"/>
    <s v="Card"/>
  </r>
  <r>
    <s v="ORD00064"/>
    <s v="08-Aug-2025"/>
    <x v="1"/>
    <s v="Haryana"/>
    <s v="Kiran"/>
    <s v="Vision Corp"/>
    <x v="0"/>
    <s v="Monitor"/>
    <n v="1"/>
    <n v="12000"/>
    <n v="10"/>
    <n v="10800"/>
    <n v="9552.3799999999992"/>
    <n v="1247.6199999999999"/>
    <s v="UPI"/>
  </r>
  <r>
    <s v="ORD00065"/>
    <s v="03-Sep-2025"/>
    <x v="2"/>
    <s v="Odisha"/>
    <s v="Priya"/>
    <s v="Global Mart"/>
    <x v="1"/>
    <s v="Desk"/>
    <n v="9"/>
    <n v="10000"/>
    <n v="10"/>
    <n v="81000"/>
    <n v="70590.929999999993"/>
    <n v="10409.07"/>
    <s v="Card"/>
  </r>
  <r>
    <s v="ORD00066"/>
    <s v="30-Dec-2025"/>
    <x v="2"/>
    <s v="West Bengal"/>
    <s v="Kiran"/>
    <s v="Vision Corp"/>
    <x v="1"/>
    <s v="Desk"/>
    <n v="4"/>
    <n v="10000"/>
    <n v="10"/>
    <n v="36000"/>
    <n v="29742.18"/>
    <n v="6257.82"/>
    <s v="Card"/>
  </r>
  <r>
    <s v="ORD00067"/>
    <s v="14-Feb-2025"/>
    <x v="1"/>
    <s v="Haryana"/>
    <s v="Sneha"/>
    <s v="Tech Solutions"/>
    <x v="2"/>
    <s v="Mouse"/>
    <n v="2"/>
    <n v="800"/>
    <n v="0"/>
    <n v="1600"/>
    <n v="1342.38"/>
    <n v="257.62"/>
    <s v="Card"/>
  </r>
  <r>
    <s v="ORD00068"/>
    <s v="21-Nov-2025"/>
    <x v="3"/>
    <s v="Telangana"/>
    <s v="Rahul"/>
    <s v="ABC Pvt Ltd"/>
    <x v="0"/>
    <s v="Laptop"/>
    <n v="8"/>
    <n v="55000"/>
    <n v="15"/>
    <n v="374000"/>
    <n v="273945.23"/>
    <n v="100054.77"/>
    <s v="Cash"/>
  </r>
  <r>
    <s v="ORD00069"/>
    <s v="18-Oct-2025"/>
    <x v="3"/>
    <s v="Telangana"/>
    <s v="Sneha"/>
    <s v="Prime Stores"/>
    <x v="2"/>
    <s v="Headset"/>
    <n v="3"/>
    <n v="2500"/>
    <n v="5"/>
    <n v="7125"/>
    <n v="5216.0600000000004"/>
    <n v="1908.94"/>
    <s v="Cash"/>
  </r>
  <r>
    <s v="ORD00070"/>
    <s v="11-Aug-2025"/>
    <x v="0"/>
    <s v="Gujarat"/>
    <s v="Kiran"/>
    <s v="XYZ Ltd"/>
    <x v="2"/>
    <s v="Headset"/>
    <n v="7"/>
    <n v="2500"/>
    <n v="5"/>
    <n v="16625"/>
    <n v="13257.89"/>
    <n v="3367.11"/>
    <s v="UPI"/>
  </r>
  <r>
    <s v="ORD00071"/>
    <s v="02-May-2025"/>
    <x v="2"/>
    <s v="Odisha"/>
    <s v="Arjun"/>
    <s v="Global Mart"/>
    <x v="2"/>
    <s v="Headset"/>
    <n v="6"/>
    <n v="2500"/>
    <n v="15"/>
    <n v="12750"/>
    <n v="10386.77"/>
    <n v="2363.23"/>
    <s v="Card"/>
  </r>
  <r>
    <s v="ORD00072"/>
    <s v="02-Apr-2025"/>
    <x v="2"/>
    <s v="West Bengal"/>
    <s v="Anita"/>
    <s v="Vision Corp"/>
    <x v="1"/>
    <s v="Office Chair"/>
    <n v="7"/>
    <n v="6000"/>
    <n v="10"/>
    <n v="37800"/>
    <n v="28779.25"/>
    <n v="9020.75"/>
    <s v="Net Banking"/>
  </r>
  <r>
    <s v="ORD00073"/>
    <s v="24-May-2025"/>
    <x v="3"/>
    <s v="Telangana"/>
    <s v="Arjun"/>
    <s v="XYZ Ltd"/>
    <x v="2"/>
    <s v="USB Drive"/>
    <n v="1"/>
    <n v="900"/>
    <n v="15"/>
    <n v="765"/>
    <n v="576.65"/>
    <n v="188.35"/>
    <s v="Card"/>
  </r>
  <r>
    <s v="ORD00074"/>
    <s v="19-May-2025"/>
    <x v="1"/>
    <s v="Haryana"/>
    <s v="Arjun"/>
    <s v="Global Mart"/>
    <x v="2"/>
    <s v="Mouse"/>
    <n v="3"/>
    <n v="800"/>
    <n v="10"/>
    <n v="2160"/>
    <n v="1429.49"/>
    <n v="730.51"/>
    <s v="Card"/>
  </r>
  <r>
    <s v="ORD00075"/>
    <s v="14-Aug-2025"/>
    <x v="0"/>
    <s v="Gujarat"/>
    <s v="Arjun"/>
    <s v="XYZ Ltd"/>
    <x v="1"/>
    <s v="Office Chair"/>
    <n v="2"/>
    <n v="6000"/>
    <n v="5"/>
    <n v="11400"/>
    <n v="8722.81"/>
    <n v="2677.19"/>
    <s v="Card"/>
  </r>
  <r>
    <s v="ORD00076"/>
    <s v="15-Mar-2025"/>
    <x v="3"/>
    <s v="Tamil Nadu"/>
    <s v="Arjun"/>
    <s v="Prime Stores"/>
    <x v="1"/>
    <s v="Office Chair"/>
    <n v="10"/>
    <n v="6000"/>
    <n v="10"/>
    <n v="54000"/>
    <n v="45835.76"/>
    <n v="8164.24"/>
    <s v="UPI"/>
  </r>
  <r>
    <s v="ORD00077"/>
    <s v="08-Mar-2025"/>
    <x v="2"/>
    <s v="West Bengal"/>
    <s v="Rahul"/>
    <s v="ABC Pvt Ltd"/>
    <x v="2"/>
    <s v="USB Drive"/>
    <n v="1"/>
    <n v="900"/>
    <n v="10"/>
    <n v="810"/>
    <n v="540.62"/>
    <n v="269.38"/>
    <s v="Cash"/>
  </r>
  <r>
    <s v="ORD00078"/>
    <s v="01-Feb-2025"/>
    <x v="2"/>
    <s v="Odisha"/>
    <s v="Sneha"/>
    <s v="Prime Stores"/>
    <x v="2"/>
    <s v="Headset"/>
    <n v="4"/>
    <n v="2500"/>
    <n v="0"/>
    <n v="10000"/>
    <n v="7638.51"/>
    <n v="2361.4899999999998"/>
    <s v="Cash"/>
  </r>
  <r>
    <s v="ORD00079"/>
    <s v="10-Sep-2025"/>
    <x v="0"/>
    <s v="Gujarat"/>
    <s v="Priya"/>
    <s v="Global Mart"/>
    <x v="2"/>
    <s v="Headset"/>
    <n v="8"/>
    <n v="2500"/>
    <n v="15"/>
    <n v="17000"/>
    <n v="13462.75"/>
    <n v="3537.25"/>
    <s v="Net Banking"/>
  </r>
  <r>
    <s v="ORD00080"/>
    <s v="14-Oct-2025"/>
    <x v="2"/>
    <s v="West Bengal"/>
    <s v="Priya"/>
    <s v="XYZ Ltd"/>
    <x v="0"/>
    <s v="Keyboard"/>
    <n v="8"/>
    <n v="1500"/>
    <n v="10"/>
    <n v="10800"/>
    <n v="8889.4599999999991"/>
    <n v="1910.54"/>
    <s v="Card"/>
  </r>
  <r>
    <s v="ORD00081"/>
    <s v="13-Apr-2025"/>
    <x v="2"/>
    <s v="Odisha"/>
    <s v="Priya"/>
    <s v="Global Mart"/>
    <x v="2"/>
    <s v="Headset"/>
    <n v="3"/>
    <n v="2500"/>
    <n v="0"/>
    <n v="7500"/>
    <n v="6667.48"/>
    <n v="832.52"/>
    <s v="Cash"/>
  </r>
  <r>
    <s v="ORD00082"/>
    <s v="17-Feb-2025"/>
    <x v="1"/>
    <s v="Delhi"/>
    <s v="Anita"/>
    <s v="Global Mart"/>
    <x v="0"/>
    <s v="Monitor"/>
    <n v="8"/>
    <n v="12000"/>
    <n v="15"/>
    <n v="81600"/>
    <n v="59881.17"/>
    <n v="21718.83"/>
    <s v="Cash"/>
  </r>
  <r>
    <s v="ORD00083"/>
    <s v="11-Apr-2025"/>
    <x v="0"/>
    <s v="Gujarat"/>
    <s v="Arjun"/>
    <s v="ABC Pvt Ltd"/>
    <x v="2"/>
    <s v="Mouse"/>
    <n v="1"/>
    <n v="800"/>
    <n v="5"/>
    <n v="760"/>
    <n v="663.01"/>
    <n v="96.99"/>
    <s v="UPI"/>
  </r>
  <r>
    <s v="ORD00084"/>
    <s v="21-Dec-2025"/>
    <x v="2"/>
    <s v="West Bengal"/>
    <s v="Sneha"/>
    <s v="Vision Corp"/>
    <x v="1"/>
    <s v="Office Chair"/>
    <n v="9"/>
    <n v="6000"/>
    <n v="15"/>
    <n v="45900"/>
    <n v="40387.18"/>
    <n v="5512.82"/>
    <s v="UPI"/>
  </r>
  <r>
    <s v="ORD00085"/>
    <s v="19-May-2025"/>
    <x v="1"/>
    <s v="Haryana"/>
    <s v="Anita"/>
    <s v="Global Mart"/>
    <x v="2"/>
    <s v="USB Drive"/>
    <n v="6"/>
    <n v="900"/>
    <n v="0"/>
    <n v="5400"/>
    <n v="4172.84"/>
    <n v="1227.1600000000001"/>
    <s v="Net Banking"/>
  </r>
  <r>
    <s v="ORD00086"/>
    <s v="24-Jul-2025"/>
    <x v="1"/>
    <s v="Punjab"/>
    <s v="Sneha"/>
    <s v="ABC Pvt Ltd"/>
    <x v="1"/>
    <s v="Office Chair"/>
    <n v="1"/>
    <n v="6000"/>
    <n v="0"/>
    <n v="6000"/>
    <n v="4256.58"/>
    <n v="1743.42"/>
    <s v="Cash"/>
  </r>
  <r>
    <s v="ORD00087"/>
    <s v="26-Jun-2025"/>
    <x v="0"/>
    <s v="Gujarat"/>
    <s v="Priya"/>
    <s v="Tech Solutions"/>
    <x v="0"/>
    <s v="Laptop"/>
    <n v="1"/>
    <n v="55000"/>
    <n v="0"/>
    <n v="55000"/>
    <n v="42501.93"/>
    <n v="12498.07"/>
    <s v="Cash"/>
  </r>
  <r>
    <s v="ORD00088"/>
    <s v="01-Mar-2025"/>
    <x v="3"/>
    <s v="Telangana"/>
    <s v="Kiran"/>
    <s v="ABC Pvt Ltd"/>
    <x v="0"/>
    <s v="Laptop"/>
    <n v="6"/>
    <n v="55000"/>
    <n v="10"/>
    <n v="297000"/>
    <n v="250056.82"/>
    <n v="46943.18"/>
    <s v="Card"/>
  </r>
  <r>
    <s v="ORD00089"/>
    <s v="28-Oct-2025"/>
    <x v="3"/>
    <s v="Tamil Nadu"/>
    <s v="Anita"/>
    <s v="ABC Pvt Ltd"/>
    <x v="1"/>
    <s v="Office Chair"/>
    <n v="2"/>
    <n v="6000"/>
    <n v="5"/>
    <n v="11400"/>
    <n v="9164.64"/>
    <n v="2235.36"/>
    <s v="Net Banking"/>
  </r>
  <r>
    <s v="ORD00090"/>
    <s v="27-Oct-2025"/>
    <x v="3"/>
    <s v="Karnataka"/>
    <s v="Rahul"/>
    <s v="Tech Solutions"/>
    <x v="2"/>
    <s v="USB Drive"/>
    <n v="2"/>
    <n v="900"/>
    <n v="15"/>
    <n v="1530"/>
    <n v="1306.69"/>
    <n v="223.31"/>
    <s v="Cash"/>
  </r>
  <r>
    <s v="ORD00091"/>
    <s v="14-Nov-2025"/>
    <x v="2"/>
    <s v="West Bengal"/>
    <s v="Priya"/>
    <s v="Global Mart"/>
    <x v="0"/>
    <s v="Laptop"/>
    <n v="6"/>
    <n v="55000"/>
    <n v="15"/>
    <n v="280500"/>
    <n v="197421.42"/>
    <n v="83078.58"/>
    <s v="Cash"/>
  </r>
  <r>
    <s v="ORD00092"/>
    <s v="30-Jun-2025"/>
    <x v="0"/>
    <s v="Maharashtra"/>
    <s v="Sneha"/>
    <s v="ABC Pvt Ltd"/>
    <x v="0"/>
    <s v="Laptop"/>
    <n v="8"/>
    <n v="55000"/>
    <n v="10"/>
    <n v="396000"/>
    <n v="270806.62"/>
    <n v="125193.38"/>
    <s v="UPI"/>
  </r>
  <r>
    <s v="ORD00093"/>
    <s v="10-Dec-2025"/>
    <x v="3"/>
    <s v="Karnataka"/>
    <s v="Rahul"/>
    <s v="Tech Solutions"/>
    <x v="2"/>
    <s v="Headset"/>
    <n v="3"/>
    <n v="2500"/>
    <n v="15"/>
    <n v="6375"/>
    <n v="5469.06"/>
    <n v="905.94"/>
    <s v="Card"/>
  </r>
  <r>
    <s v="ORD00094"/>
    <s v="19-Mar-2025"/>
    <x v="2"/>
    <s v="West Bengal"/>
    <s v="Priya"/>
    <s v="XYZ Ltd"/>
    <x v="1"/>
    <s v="Desk"/>
    <n v="3"/>
    <n v="10000"/>
    <n v="5"/>
    <n v="28500"/>
    <n v="25246.33"/>
    <n v="3253.67"/>
    <s v="Cash"/>
  </r>
  <r>
    <s v="ORD00095"/>
    <s v="25-Feb-2025"/>
    <x v="3"/>
    <s v="Karnataka"/>
    <s v="Arjun"/>
    <s v="ABC Pvt Ltd"/>
    <x v="2"/>
    <s v="USB Drive"/>
    <n v="5"/>
    <n v="900"/>
    <n v="5"/>
    <n v="4275"/>
    <n v="3114.5"/>
    <n v="1160.5"/>
    <s v="Card"/>
  </r>
  <r>
    <s v="ORD00096"/>
    <s v="31-Jan-2025"/>
    <x v="1"/>
    <s v="Punjab"/>
    <s v="Rahul"/>
    <s v="ABC Pvt Ltd"/>
    <x v="2"/>
    <s v="Headset"/>
    <n v="4"/>
    <n v="2500"/>
    <n v="0"/>
    <n v="10000"/>
    <n v="8592.41"/>
    <n v="1407.59"/>
    <s v="Net Banking"/>
  </r>
  <r>
    <s v="ORD00097"/>
    <s v="12-Feb-2025"/>
    <x v="3"/>
    <s v="Tamil Nadu"/>
    <s v="Rahul"/>
    <s v="ABC Pvt Ltd"/>
    <x v="0"/>
    <s v="Keyboard"/>
    <n v="3"/>
    <n v="1500"/>
    <n v="15"/>
    <n v="3825"/>
    <n v="2931.65"/>
    <n v="893.35"/>
    <s v="Card"/>
  </r>
  <r>
    <s v="ORD00098"/>
    <s v="02-Jul-2025"/>
    <x v="2"/>
    <s v="Odisha"/>
    <s v="Sneha"/>
    <s v="Global Mart"/>
    <x v="1"/>
    <s v="Desk"/>
    <n v="9"/>
    <n v="10000"/>
    <n v="15"/>
    <n v="76500"/>
    <n v="51668.23"/>
    <n v="24831.77"/>
    <s v="UPI"/>
  </r>
  <r>
    <s v="ORD00099"/>
    <s v="03-Jul-2025"/>
    <x v="1"/>
    <s v="Haryana"/>
    <s v="Arjun"/>
    <s v="ABC Pvt Ltd"/>
    <x v="1"/>
    <s v="Desk"/>
    <n v="8"/>
    <n v="10000"/>
    <n v="15"/>
    <n v="68000"/>
    <n v="47136.94"/>
    <n v="20863.060000000001"/>
    <s v="Net Banking"/>
  </r>
  <r>
    <s v="ORD00100"/>
    <s v="24-Mar-2025"/>
    <x v="3"/>
    <s v="Telangana"/>
    <s v="Arjun"/>
    <s v="Prime Stores"/>
    <x v="2"/>
    <s v="USB Drive"/>
    <n v="3"/>
    <n v="900"/>
    <n v="5"/>
    <n v="2565"/>
    <n v="1856.39"/>
    <n v="708.61"/>
    <s v="Net Banking"/>
  </r>
  <r>
    <s v="ORD00101"/>
    <s v="02-Aug-2025"/>
    <x v="1"/>
    <s v="Punjab"/>
    <s v="Arjun"/>
    <s v="Vision Corp"/>
    <x v="0"/>
    <s v="Keyboard"/>
    <n v="5"/>
    <n v="1500"/>
    <n v="0"/>
    <n v="7500"/>
    <n v="5742.66"/>
    <n v="1757.34"/>
    <s v="Cash"/>
  </r>
  <r>
    <s v="ORD00102"/>
    <s v="09-Apr-2025"/>
    <x v="2"/>
    <s v="Odisha"/>
    <s v="Priya"/>
    <s v="Tech Solutions"/>
    <x v="1"/>
    <s v="Office Chair"/>
    <n v="10"/>
    <n v="6000"/>
    <n v="0"/>
    <n v="60000"/>
    <n v="43483.38"/>
    <n v="16516.62"/>
    <s v="Card"/>
  </r>
  <r>
    <s v="ORD00103"/>
    <s v="14-May-2025"/>
    <x v="0"/>
    <s v="Gujarat"/>
    <s v="Kiran"/>
    <s v="Vision Corp"/>
    <x v="0"/>
    <s v="Keyboard"/>
    <n v="6"/>
    <n v="1500"/>
    <n v="5"/>
    <n v="8550"/>
    <n v="7307.57"/>
    <n v="1242.43"/>
    <s v="Cash"/>
  </r>
  <r>
    <s v="ORD00104"/>
    <s v="05-Dec-2025"/>
    <x v="1"/>
    <s v="Delhi"/>
    <s v="Sneha"/>
    <s v="Tech Solutions"/>
    <x v="2"/>
    <s v="Headset"/>
    <n v="2"/>
    <n v="2500"/>
    <n v="0"/>
    <n v="5000"/>
    <n v="3494.94"/>
    <n v="1505.06"/>
    <s v="UPI"/>
  </r>
  <r>
    <s v="ORD00105"/>
    <s v="24-Dec-2025"/>
    <x v="2"/>
    <s v="Odisha"/>
    <s v="Kiran"/>
    <s v="Vision Corp"/>
    <x v="2"/>
    <s v="Mouse"/>
    <n v="3"/>
    <n v="800"/>
    <n v="15"/>
    <n v="2040"/>
    <n v="1632.21"/>
    <n v="407.79"/>
    <s v="Card"/>
  </r>
  <r>
    <s v="ORD00106"/>
    <s v="24-Aug-2025"/>
    <x v="1"/>
    <s v="Delhi"/>
    <s v="Sneha"/>
    <s v="Vision Corp"/>
    <x v="0"/>
    <s v="Laptop"/>
    <n v="1"/>
    <n v="55000"/>
    <n v="10"/>
    <n v="49500"/>
    <n v="42209.66"/>
    <n v="7290.34"/>
    <s v="Card"/>
  </r>
  <r>
    <s v="ORD00107"/>
    <s v="28-Nov-2025"/>
    <x v="2"/>
    <s v="Odisha"/>
    <s v="Anita"/>
    <s v="XYZ Ltd"/>
    <x v="2"/>
    <s v="Mouse"/>
    <n v="1"/>
    <n v="800"/>
    <n v="5"/>
    <n v="760"/>
    <n v="560.22"/>
    <n v="199.78"/>
    <s v="UPI"/>
  </r>
  <r>
    <s v="ORD00108"/>
    <s v="13-Jan-2025"/>
    <x v="0"/>
    <s v="Gujarat"/>
    <s v="Kiran"/>
    <s v="Prime Stores"/>
    <x v="2"/>
    <s v="USB Drive"/>
    <n v="5"/>
    <n v="900"/>
    <n v="15"/>
    <n v="3825"/>
    <n v="3401.49"/>
    <n v="423.51"/>
    <s v="Card"/>
  </r>
  <r>
    <s v="ORD00109"/>
    <s v="19-Jun-2025"/>
    <x v="2"/>
    <s v="Odisha"/>
    <s v="Priya"/>
    <s v="XYZ Ltd"/>
    <x v="0"/>
    <s v="Keyboard"/>
    <n v="2"/>
    <n v="1500"/>
    <n v="0"/>
    <n v="3000"/>
    <n v="2313.66"/>
    <n v="686.34"/>
    <s v="Net Banking"/>
  </r>
  <r>
    <s v="ORD00110"/>
    <s v="20-Oct-2025"/>
    <x v="2"/>
    <s v="West Bengal"/>
    <s v="Kiran"/>
    <s v="Prime Stores"/>
    <x v="0"/>
    <s v="Laptop"/>
    <n v="2"/>
    <n v="55000"/>
    <n v="10"/>
    <n v="99000"/>
    <n v="71553.56"/>
    <n v="27446.44"/>
    <s v="Net Banking"/>
  </r>
  <r>
    <s v="ORD00111"/>
    <s v="02-Jul-2025"/>
    <x v="0"/>
    <s v="Maharashtra"/>
    <s v="Rahul"/>
    <s v="Vision Corp"/>
    <x v="1"/>
    <s v="Desk"/>
    <n v="3"/>
    <n v="10000"/>
    <n v="15"/>
    <n v="25500"/>
    <n v="17308.32"/>
    <n v="8191.68"/>
    <s v="UPI"/>
  </r>
  <r>
    <s v="ORD00112"/>
    <s v="15-May-2025"/>
    <x v="3"/>
    <s v="Karnataka"/>
    <s v="Arjun"/>
    <s v="Prime Stores"/>
    <x v="2"/>
    <s v="Headset"/>
    <n v="3"/>
    <n v="2500"/>
    <n v="15"/>
    <n v="6375"/>
    <n v="5670.7"/>
    <n v="704.3"/>
    <s v="Net Banking"/>
  </r>
  <r>
    <s v="ORD00113"/>
    <s v="05-Feb-2025"/>
    <x v="0"/>
    <s v="Gujarat"/>
    <s v="Sneha"/>
    <s v="Prime Stores"/>
    <x v="1"/>
    <s v="Desk"/>
    <n v="9"/>
    <n v="10000"/>
    <n v="0"/>
    <n v="90000"/>
    <n v="64678.18"/>
    <n v="25321.82"/>
    <s v="Net Banking"/>
  </r>
  <r>
    <s v="ORD00114"/>
    <s v="18-May-2025"/>
    <x v="3"/>
    <s v="Tamil Nadu"/>
    <s v="Rahul"/>
    <s v="Tech Solutions"/>
    <x v="2"/>
    <s v="USB Drive"/>
    <n v="4"/>
    <n v="900"/>
    <n v="0"/>
    <n v="3600"/>
    <n v="2770.78"/>
    <n v="829.22"/>
    <s v="Cash"/>
  </r>
  <r>
    <s v="ORD00115"/>
    <s v="16-Aug-2025"/>
    <x v="0"/>
    <s v="Maharashtra"/>
    <s v="Priya"/>
    <s v="ABC Pvt Ltd"/>
    <x v="2"/>
    <s v="USB Drive"/>
    <n v="1"/>
    <n v="900"/>
    <n v="5"/>
    <n v="855"/>
    <n v="608.04"/>
    <n v="246.96"/>
    <s v="Net Banking"/>
  </r>
  <r>
    <s v="ORD00116"/>
    <s v="22-May-2025"/>
    <x v="3"/>
    <s v="Telangana"/>
    <s v="Priya"/>
    <s v="Tech Solutions"/>
    <x v="2"/>
    <s v="USB Drive"/>
    <n v="6"/>
    <n v="900"/>
    <n v="5"/>
    <n v="5130"/>
    <n v="3478.66"/>
    <n v="1651.34"/>
    <s v="Cash"/>
  </r>
  <r>
    <s v="ORD00117"/>
    <s v="10-May-2025"/>
    <x v="0"/>
    <s v="Gujarat"/>
    <s v="Anita"/>
    <s v="Tech Solutions"/>
    <x v="2"/>
    <s v="Mouse"/>
    <n v="2"/>
    <n v="800"/>
    <n v="15"/>
    <n v="1360"/>
    <n v="1198.44"/>
    <n v="161.56"/>
    <s v="Net Banking"/>
  </r>
  <r>
    <s v="ORD00118"/>
    <s v="29-Sep-2025"/>
    <x v="1"/>
    <s v="Haryana"/>
    <s v="Arjun"/>
    <s v="Tech Solutions"/>
    <x v="2"/>
    <s v="Mouse"/>
    <n v="7"/>
    <n v="800"/>
    <n v="15"/>
    <n v="4760"/>
    <n v="3154.31"/>
    <n v="1605.69"/>
    <s v="Cash"/>
  </r>
  <r>
    <s v="ORD00119"/>
    <s v="22-Jul-2025"/>
    <x v="2"/>
    <s v="West Bengal"/>
    <s v="Anita"/>
    <s v="XYZ Ltd"/>
    <x v="2"/>
    <s v="USB Drive"/>
    <n v="1"/>
    <n v="900"/>
    <n v="0"/>
    <n v="900"/>
    <n v="692.36"/>
    <n v="207.64"/>
    <s v="Net Banking"/>
  </r>
  <r>
    <s v="ORD00120"/>
    <s v="13-Nov-2025"/>
    <x v="2"/>
    <s v="West Bengal"/>
    <s v="Rahul"/>
    <s v="Global Mart"/>
    <x v="0"/>
    <s v="Laptop"/>
    <n v="8"/>
    <n v="55000"/>
    <n v="5"/>
    <n v="418000"/>
    <n v="328987.94"/>
    <n v="89012.06"/>
    <s v="Card"/>
  </r>
  <r>
    <s v="ORD00121"/>
    <s v="24-Sep-2025"/>
    <x v="1"/>
    <s v="Punjab"/>
    <s v="Sneha"/>
    <s v="XYZ Ltd"/>
    <x v="1"/>
    <s v="Office Chair"/>
    <n v="1"/>
    <n v="6000"/>
    <n v="15"/>
    <n v="5100"/>
    <n v="3419.84"/>
    <n v="1680.16"/>
    <s v="Card"/>
  </r>
  <r>
    <s v="ORD00122"/>
    <s v="26-Dec-2025"/>
    <x v="2"/>
    <s v="Odisha"/>
    <s v="Rahul"/>
    <s v="Global Mart"/>
    <x v="0"/>
    <s v="Keyboard"/>
    <n v="6"/>
    <n v="1500"/>
    <n v="10"/>
    <n v="8100"/>
    <n v="7268.25"/>
    <n v="831.75"/>
    <s v="Net Banking"/>
  </r>
  <r>
    <s v="ORD00123"/>
    <s v="05-Jan-2025"/>
    <x v="2"/>
    <s v="West Bengal"/>
    <s v="Anita"/>
    <s v="Vision Corp"/>
    <x v="2"/>
    <s v="Mouse"/>
    <n v="1"/>
    <n v="800"/>
    <n v="15"/>
    <n v="680"/>
    <n v="608.32000000000005"/>
    <n v="71.680000000000007"/>
    <s v="Card"/>
  </r>
  <r>
    <s v="ORD00124"/>
    <s v="25-Jan-2025"/>
    <x v="2"/>
    <s v="Odisha"/>
    <s v="Arjun"/>
    <s v="XYZ Ltd"/>
    <x v="2"/>
    <s v="Headset"/>
    <n v="6"/>
    <n v="2500"/>
    <n v="0"/>
    <n v="15000"/>
    <n v="10242.799999999999"/>
    <n v="4757.2"/>
    <s v="Card"/>
  </r>
  <r>
    <s v="ORD00125"/>
    <s v="15-Feb-2025"/>
    <x v="3"/>
    <s v="Karnataka"/>
    <s v="Rahul"/>
    <s v="Prime Stores"/>
    <x v="1"/>
    <s v="Desk"/>
    <n v="4"/>
    <n v="10000"/>
    <n v="15"/>
    <n v="34000"/>
    <n v="28641.5"/>
    <n v="5358.5"/>
    <s v="Card"/>
  </r>
  <r>
    <s v="ORD00126"/>
    <s v="28-Jun-2025"/>
    <x v="2"/>
    <s v="West Bengal"/>
    <s v="Anita"/>
    <s v="Vision Corp"/>
    <x v="2"/>
    <s v="Headset"/>
    <n v="10"/>
    <n v="2500"/>
    <n v="10"/>
    <n v="22500"/>
    <n v="14879.84"/>
    <n v="7620.16"/>
    <s v="Net Banking"/>
  </r>
  <r>
    <s v="ORD00127"/>
    <s v="12-Dec-2025"/>
    <x v="3"/>
    <s v="Karnataka"/>
    <s v="Arjun"/>
    <s v="ABC Pvt Ltd"/>
    <x v="1"/>
    <s v="Office Chair"/>
    <n v="7"/>
    <n v="6000"/>
    <n v="10"/>
    <n v="37800"/>
    <n v="31408.29"/>
    <n v="6391.71"/>
    <s v="Card"/>
  </r>
  <r>
    <s v="ORD00128"/>
    <s v="10-Oct-2025"/>
    <x v="2"/>
    <s v="Odisha"/>
    <s v="Kiran"/>
    <s v="XYZ Ltd"/>
    <x v="2"/>
    <s v="Headset"/>
    <n v="7"/>
    <n v="2500"/>
    <n v="10"/>
    <n v="15750"/>
    <n v="10276.709999999999"/>
    <n v="5473.29"/>
    <s v="Net Banking"/>
  </r>
  <r>
    <s v="ORD00129"/>
    <s v="29-Nov-2025"/>
    <x v="2"/>
    <s v="West Bengal"/>
    <s v="Anita"/>
    <s v="Prime Stores"/>
    <x v="1"/>
    <s v="Office Chair"/>
    <n v="1"/>
    <n v="6000"/>
    <n v="10"/>
    <n v="5400"/>
    <n v="3536.23"/>
    <n v="1863.77"/>
    <s v="Cash"/>
  </r>
  <r>
    <s v="ORD00130"/>
    <s v="11-May-2025"/>
    <x v="2"/>
    <s v="West Bengal"/>
    <s v="Kiran"/>
    <s v="ABC Pvt Ltd"/>
    <x v="2"/>
    <s v="USB Drive"/>
    <n v="1"/>
    <n v="900"/>
    <n v="5"/>
    <n v="855"/>
    <n v="624.16999999999996"/>
    <n v="230.83"/>
    <s v="Card"/>
  </r>
  <r>
    <s v="ORD00131"/>
    <s v="22-Dec-2025"/>
    <x v="3"/>
    <s v="Karnataka"/>
    <s v="Kiran"/>
    <s v="Tech Solutions"/>
    <x v="1"/>
    <s v="Office Chair"/>
    <n v="7"/>
    <n v="6000"/>
    <n v="0"/>
    <n v="42000"/>
    <n v="28673.58"/>
    <n v="13326.42"/>
    <s v="Card"/>
  </r>
  <r>
    <s v="ORD00132"/>
    <s v="04-Mar-2025"/>
    <x v="2"/>
    <s v="Odisha"/>
    <s v="Kiran"/>
    <s v="Vision Corp"/>
    <x v="0"/>
    <s v="Keyboard"/>
    <n v="3"/>
    <n v="1500"/>
    <n v="15"/>
    <n v="3825"/>
    <n v="2880.09"/>
    <n v="944.91"/>
    <s v="UPI"/>
  </r>
  <r>
    <s v="ORD00133"/>
    <s v="16-Apr-2025"/>
    <x v="2"/>
    <s v="West Bengal"/>
    <s v="Rahul"/>
    <s v="Prime Stores"/>
    <x v="2"/>
    <s v="USB Drive"/>
    <n v="1"/>
    <n v="900"/>
    <n v="0"/>
    <n v="900"/>
    <n v="725.68"/>
    <n v="174.32"/>
    <s v="UPI"/>
  </r>
  <r>
    <s v="ORD00134"/>
    <s v="28-Jul-2025"/>
    <x v="2"/>
    <s v="West Bengal"/>
    <s v="Kiran"/>
    <s v="XYZ Ltd"/>
    <x v="2"/>
    <s v="Mouse"/>
    <n v="7"/>
    <n v="800"/>
    <n v="15"/>
    <n v="4760"/>
    <n v="4179.59"/>
    <n v="580.41"/>
    <s v="Net Banking"/>
  </r>
  <r>
    <s v="ORD00135"/>
    <s v="27-May-2025"/>
    <x v="3"/>
    <s v="Karnataka"/>
    <s v="Sneha"/>
    <s v="XYZ Ltd"/>
    <x v="1"/>
    <s v="Office Chair"/>
    <n v="10"/>
    <n v="6000"/>
    <n v="5"/>
    <n v="57000"/>
    <n v="37087.64"/>
    <n v="19912.36"/>
    <s v="UPI"/>
  </r>
  <r>
    <s v="ORD00136"/>
    <s v="28-Dec-2025"/>
    <x v="0"/>
    <s v="Maharashtra"/>
    <s v="Arjun"/>
    <s v="Tech Solutions"/>
    <x v="2"/>
    <s v="Mouse"/>
    <n v="2"/>
    <n v="800"/>
    <n v="5"/>
    <n v="1520"/>
    <n v="1207.1199999999999"/>
    <n v="312.88"/>
    <s v="UPI"/>
  </r>
  <r>
    <s v="ORD00137"/>
    <s v="31-Jan-2025"/>
    <x v="1"/>
    <s v="Punjab"/>
    <s v="Priya"/>
    <s v="Prime Stores"/>
    <x v="1"/>
    <s v="Desk"/>
    <n v="1"/>
    <n v="10000"/>
    <n v="5"/>
    <n v="9500"/>
    <n v="7981.17"/>
    <n v="1518.83"/>
    <s v="UPI"/>
  </r>
  <r>
    <s v="ORD00138"/>
    <s v="05-May-2025"/>
    <x v="0"/>
    <s v="Maharashtra"/>
    <s v="Arjun"/>
    <s v="XYZ Ltd"/>
    <x v="2"/>
    <s v="Mouse"/>
    <n v="6"/>
    <n v="800"/>
    <n v="0"/>
    <n v="4800"/>
    <n v="4072.95"/>
    <n v="727.05"/>
    <s v="Net Banking"/>
  </r>
  <r>
    <s v="ORD00139"/>
    <s v="22-Dec-2025"/>
    <x v="3"/>
    <s v="Tamil Nadu"/>
    <s v="Arjun"/>
    <s v="XYZ Ltd"/>
    <x v="0"/>
    <s v="Monitor"/>
    <n v="4"/>
    <n v="12000"/>
    <n v="10"/>
    <n v="43200"/>
    <n v="36438.35"/>
    <n v="6761.65"/>
    <s v="UPI"/>
  </r>
  <r>
    <s v="ORD00140"/>
    <s v="23-Sep-2025"/>
    <x v="2"/>
    <s v="West Bengal"/>
    <s v="Kiran"/>
    <s v="Tech Solutions"/>
    <x v="1"/>
    <s v="Desk"/>
    <n v="6"/>
    <n v="10000"/>
    <n v="5"/>
    <n v="57000"/>
    <n v="43095.33"/>
    <n v="13904.67"/>
    <s v="Card"/>
  </r>
  <r>
    <s v="ORD00141"/>
    <s v="20-Jun-2025"/>
    <x v="0"/>
    <s v="Maharashtra"/>
    <s v="Priya"/>
    <s v="Tech Solutions"/>
    <x v="1"/>
    <s v="Office Chair"/>
    <n v="6"/>
    <n v="6000"/>
    <n v="5"/>
    <n v="34200"/>
    <n v="22323.09"/>
    <n v="11876.91"/>
    <s v="Card"/>
  </r>
  <r>
    <s v="ORD00142"/>
    <s v="23-Sep-2025"/>
    <x v="1"/>
    <s v="Haryana"/>
    <s v="Rahul"/>
    <s v="Global Mart"/>
    <x v="0"/>
    <s v="Monitor"/>
    <n v="6"/>
    <n v="12000"/>
    <n v="10"/>
    <n v="64800"/>
    <n v="54939.91"/>
    <n v="9860.09"/>
    <s v="UPI"/>
  </r>
  <r>
    <s v="ORD00143"/>
    <s v="12-May-2025"/>
    <x v="1"/>
    <s v="Haryana"/>
    <s v="Arjun"/>
    <s v="ABC Pvt Ltd"/>
    <x v="1"/>
    <s v="Office Chair"/>
    <n v="10"/>
    <n v="6000"/>
    <n v="5"/>
    <n v="57000"/>
    <n v="44939.5"/>
    <n v="12060.5"/>
    <s v="Cash"/>
  </r>
  <r>
    <s v="ORD00144"/>
    <s v="16-Jan-2025"/>
    <x v="2"/>
    <s v="Odisha"/>
    <s v="Arjun"/>
    <s v="XYZ Ltd"/>
    <x v="1"/>
    <s v="Office Chair"/>
    <n v="8"/>
    <n v="6000"/>
    <n v="0"/>
    <n v="48000"/>
    <n v="32416.53"/>
    <n v="15583.47"/>
    <s v="UPI"/>
  </r>
  <r>
    <s v="ORD00145"/>
    <s v="17-Sep-2025"/>
    <x v="1"/>
    <s v="Punjab"/>
    <s v="Arjun"/>
    <s v="Vision Corp"/>
    <x v="2"/>
    <s v="Headset"/>
    <n v="9"/>
    <n v="2500"/>
    <n v="5"/>
    <n v="21375"/>
    <n v="15003.19"/>
    <n v="6371.81"/>
    <s v="Net Banking"/>
  </r>
  <r>
    <s v="ORD00146"/>
    <s v="04-Mar-2025"/>
    <x v="1"/>
    <s v="Haryana"/>
    <s v="Rahul"/>
    <s v="Global Mart"/>
    <x v="1"/>
    <s v="Desk"/>
    <n v="3"/>
    <n v="10000"/>
    <n v="0"/>
    <n v="30000"/>
    <n v="26463.81"/>
    <n v="3536.19"/>
    <s v="Net Banking"/>
  </r>
  <r>
    <s v="ORD00147"/>
    <s v="29-Mar-2025"/>
    <x v="3"/>
    <s v="Tamil Nadu"/>
    <s v="Anita"/>
    <s v="Prime Stores"/>
    <x v="0"/>
    <s v="Laptop"/>
    <n v="2"/>
    <n v="55000"/>
    <n v="5"/>
    <n v="104500"/>
    <n v="87402.21"/>
    <n v="17097.79"/>
    <s v="Card"/>
  </r>
  <r>
    <s v="ORD00148"/>
    <s v="22-Oct-2025"/>
    <x v="1"/>
    <s v="Delhi"/>
    <s v="Arjun"/>
    <s v="ABC Pvt Ltd"/>
    <x v="0"/>
    <s v="Laptop"/>
    <n v="1"/>
    <n v="55000"/>
    <n v="0"/>
    <n v="55000"/>
    <n v="39313"/>
    <n v="15687"/>
    <s v="UPI"/>
  </r>
  <r>
    <s v="ORD00149"/>
    <s v="08-Mar-2025"/>
    <x v="1"/>
    <s v="Haryana"/>
    <s v="Rahul"/>
    <s v="Global Mart"/>
    <x v="2"/>
    <s v="USB Drive"/>
    <n v="1"/>
    <n v="900"/>
    <n v="15"/>
    <n v="765"/>
    <n v="581.33000000000004"/>
    <n v="183.67"/>
    <s v="Cash"/>
  </r>
  <r>
    <s v="ORD00150"/>
    <s v="14-Jan-2025"/>
    <x v="3"/>
    <s v="Telangana"/>
    <s v="Rahul"/>
    <s v="XYZ Ltd"/>
    <x v="1"/>
    <s v="Office Chair"/>
    <n v="1"/>
    <n v="6000"/>
    <n v="0"/>
    <n v="6000"/>
    <n v="4871.12"/>
    <n v="1128.8800000000001"/>
    <s v="Card"/>
  </r>
  <r>
    <s v="ORD00151"/>
    <s v="27-Dec-2025"/>
    <x v="2"/>
    <s v="West Bengal"/>
    <s v="Rahul"/>
    <s v="Prime Stores"/>
    <x v="1"/>
    <s v="Desk"/>
    <n v="1"/>
    <n v="10000"/>
    <n v="10"/>
    <n v="9000"/>
    <n v="6371.78"/>
    <n v="2628.22"/>
    <s v="Net Banking"/>
  </r>
  <r>
    <s v="ORD00152"/>
    <s v="27-May-2025"/>
    <x v="1"/>
    <s v="Haryana"/>
    <s v="Rahul"/>
    <s v="XYZ Ltd"/>
    <x v="0"/>
    <s v="Monitor"/>
    <n v="8"/>
    <n v="12000"/>
    <n v="15"/>
    <n v="81600"/>
    <n v="55048.67"/>
    <n v="26551.33"/>
    <s v="UPI"/>
  </r>
  <r>
    <s v="ORD00153"/>
    <s v="13-Sep-2025"/>
    <x v="0"/>
    <s v="Maharashtra"/>
    <s v="Priya"/>
    <s v="Global Mart"/>
    <x v="0"/>
    <s v="Laptop"/>
    <n v="6"/>
    <n v="55000"/>
    <n v="0"/>
    <n v="330000"/>
    <n v="250281.87"/>
    <n v="79718.13"/>
    <s v="UPI"/>
  </r>
  <r>
    <s v="ORD00154"/>
    <s v="02-Jan-2025"/>
    <x v="0"/>
    <s v="Gujarat"/>
    <s v="Rahul"/>
    <s v="Vision Corp"/>
    <x v="0"/>
    <s v="Monitor"/>
    <n v="8"/>
    <n v="12000"/>
    <n v="15"/>
    <n v="81600"/>
    <n v="66945.25"/>
    <n v="14654.75"/>
    <s v="Net Banking"/>
  </r>
  <r>
    <s v="ORD00155"/>
    <s v="05-Mar-2025"/>
    <x v="2"/>
    <s v="Odisha"/>
    <s v="Sneha"/>
    <s v="Tech Solutions"/>
    <x v="1"/>
    <s v="Desk"/>
    <n v="5"/>
    <n v="10000"/>
    <n v="0"/>
    <n v="50000"/>
    <n v="34085.629999999997"/>
    <n v="15914.37"/>
    <s v="Net Banking"/>
  </r>
  <r>
    <s v="ORD00156"/>
    <s v="16-Dec-2025"/>
    <x v="0"/>
    <s v="Maharashtra"/>
    <s v="Kiran"/>
    <s v="Tech Solutions"/>
    <x v="2"/>
    <s v="USB Drive"/>
    <n v="4"/>
    <n v="900"/>
    <n v="15"/>
    <n v="3060"/>
    <n v="2211.46"/>
    <n v="848.54"/>
    <s v="Net Banking"/>
  </r>
  <r>
    <s v="ORD00157"/>
    <s v="19-Apr-2025"/>
    <x v="3"/>
    <s v="Karnataka"/>
    <s v="Sneha"/>
    <s v="Tech Solutions"/>
    <x v="2"/>
    <s v="Mouse"/>
    <n v="8"/>
    <n v="800"/>
    <n v="5"/>
    <n v="6080"/>
    <n v="5452.03"/>
    <n v="627.97"/>
    <s v="Net Banking"/>
  </r>
  <r>
    <s v="ORD00158"/>
    <s v="05-Nov-2025"/>
    <x v="0"/>
    <s v="Maharashtra"/>
    <s v="Sneha"/>
    <s v="Prime Stores"/>
    <x v="2"/>
    <s v="Mouse"/>
    <n v="6"/>
    <n v="800"/>
    <n v="5"/>
    <n v="4560"/>
    <n v="3130.5"/>
    <n v="1429.5"/>
    <s v="Card"/>
  </r>
  <r>
    <s v="ORD00159"/>
    <s v="01-Mar-2025"/>
    <x v="0"/>
    <s v="Gujarat"/>
    <s v="Anita"/>
    <s v="Prime Stores"/>
    <x v="0"/>
    <s v="Laptop"/>
    <n v="1"/>
    <n v="55000"/>
    <n v="0"/>
    <n v="55000"/>
    <n v="36260.120000000003"/>
    <n v="18739.88"/>
    <s v="Cash"/>
  </r>
  <r>
    <s v="ORD00160"/>
    <s v="15-Feb-2025"/>
    <x v="2"/>
    <s v="West Bengal"/>
    <s v="Rahul"/>
    <s v="ABC Pvt Ltd"/>
    <x v="0"/>
    <s v="Laptop"/>
    <n v="1"/>
    <n v="55000"/>
    <n v="15"/>
    <n v="46750"/>
    <n v="39451.839999999997"/>
    <n v="7298.16"/>
    <s v="Net Banking"/>
  </r>
  <r>
    <s v="ORD00161"/>
    <s v="17-Mar-2025"/>
    <x v="0"/>
    <s v="Gujarat"/>
    <s v="Rahul"/>
    <s v="Vision Corp"/>
    <x v="0"/>
    <s v="Monitor"/>
    <n v="3"/>
    <n v="12000"/>
    <n v="0"/>
    <n v="36000"/>
    <n v="23869.89"/>
    <n v="12130.11"/>
    <s v="UPI"/>
  </r>
  <r>
    <s v="ORD00162"/>
    <s v="20-May-2025"/>
    <x v="1"/>
    <s v="Haryana"/>
    <s v="Arjun"/>
    <s v="XYZ Ltd"/>
    <x v="0"/>
    <s v="Monitor"/>
    <n v="6"/>
    <n v="12000"/>
    <n v="0"/>
    <n v="72000"/>
    <n v="62229.19"/>
    <n v="9770.81"/>
    <s v="Net Banking"/>
  </r>
  <r>
    <s v="ORD00163"/>
    <s v="03-Nov-2025"/>
    <x v="0"/>
    <s v="Maharashtra"/>
    <s v="Kiran"/>
    <s v="Vision Corp"/>
    <x v="1"/>
    <s v="Office Chair"/>
    <n v="3"/>
    <n v="6000"/>
    <n v="5"/>
    <n v="17100"/>
    <n v="14549.04"/>
    <n v="2550.96"/>
    <s v="Card"/>
  </r>
  <r>
    <s v="ORD00164"/>
    <s v="23-Nov-2025"/>
    <x v="3"/>
    <s v="Tamil Nadu"/>
    <s v="Anita"/>
    <s v="Prime Stores"/>
    <x v="2"/>
    <s v="Headset"/>
    <n v="10"/>
    <n v="2500"/>
    <n v="15"/>
    <n v="21250"/>
    <n v="14160.35"/>
    <n v="7089.65"/>
    <s v="Card"/>
  </r>
  <r>
    <s v="ORD00165"/>
    <s v="16-Aug-2025"/>
    <x v="1"/>
    <s v="Delhi"/>
    <s v="Arjun"/>
    <s v="Prime Stores"/>
    <x v="1"/>
    <s v="Office Chair"/>
    <n v="4"/>
    <n v="6000"/>
    <n v="15"/>
    <n v="20400"/>
    <n v="16147.47"/>
    <n v="4252.53"/>
    <s v="Net Banking"/>
  </r>
  <r>
    <s v="ORD00166"/>
    <s v="11-May-2025"/>
    <x v="0"/>
    <s v="Gujarat"/>
    <s v="Arjun"/>
    <s v="Tech Solutions"/>
    <x v="0"/>
    <s v="Monitor"/>
    <n v="6"/>
    <n v="12000"/>
    <n v="15"/>
    <n v="61200"/>
    <n v="47988.2"/>
    <n v="13211.8"/>
    <s v="Cash"/>
  </r>
  <r>
    <s v="ORD00167"/>
    <s v="25-Apr-2025"/>
    <x v="0"/>
    <s v="Maharashtra"/>
    <s v="Kiran"/>
    <s v="ABC Pvt Ltd"/>
    <x v="2"/>
    <s v="Mouse"/>
    <n v="2"/>
    <n v="800"/>
    <n v="0"/>
    <n v="1600"/>
    <n v="1240.1400000000001"/>
    <n v="359.86"/>
    <s v="Cash"/>
  </r>
  <r>
    <s v="ORD00168"/>
    <s v="17-Sep-2025"/>
    <x v="1"/>
    <s v="Delhi"/>
    <s v="Priya"/>
    <s v="Global Mart"/>
    <x v="1"/>
    <s v="Desk"/>
    <n v="1"/>
    <n v="10000"/>
    <n v="0"/>
    <n v="10000"/>
    <n v="8064.53"/>
    <n v="1935.47"/>
    <s v="Cash"/>
  </r>
  <r>
    <s v="ORD00169"/>
    <s v="08-Dec-2025"/>
    <x v="1"/>
    <s v="Haryana"/>
    <s v="Priya"/>
    <s v="Prime Stores"/>
    <x v="2"/>
    <s v="Headset"/>
    <n v="3"/>
    <n v="2500"/>
    <n v="0"/>
    <n v="7500"/>
    <n v="5927.32"/>
    <n v="1572.68"/>
    <s v="UPI"/>
  </r>
  <r>
    <s v="ORD00170"/>
    <s v="03-Aug-2025"/>
    <x v="0"/>
    <s v="Maharashtra"/>
    <s v="Rahul"/>
    <s v="Global Mart"/>
    <x v="0"/>
    <s v="Laptop"/>
    <n v="9"/>
    <n v="55000"/>
    <n v="5"/>
    <n v="470250"/>
    <n v="335226.34999999998"/>
    <n v="135023.65"/>
    <s v="UPI"/>
  </r>
  <r>
    <s v="ORD00171"/>
    <s v="24-Sep-2025"/>
    <x v="0"/>
    <s v="Maharashtra"/>
    <s v="Priya"/>
    <s v="Vision Corp"/>
    <x v="0"/>
    <s v="Laptop"/>
    <n v="7"/>
    <n v="55000"/>
    <n v="0"/>
    <n v="385000"/>
    <n v="261153.33"/>
    <n v="123846.67"/>
    <s v="UPI"/>
  </r>
  <r>
    <s v="ORD00172"/>
    <s v="22-Nov-2025"/>
    <x v="0"/>
    <s v="Gujarat"/>
    <s v="Kiran"/>
    <s v="ABC Pvt Ltd"/>
    <x v="2"/>
    <s v="USB Drive"/>
    <n v="4"/>
    <n v="900"/>
    <n v="0"/>
    <n v="3600"/>
    <n v="3239.88"/>
    <n v="360.12"/>
    <s v="UPI"/>
  </r>
  <r>
    <s v="ORD00173"/>
    <s v="17-Jan-2025"/>
    <x v="2"/>
    <s v="Odisha"/>
    <s v="Arjun"/>
    <s v="Global Mart"/>
    <x v="2"/>
    <s v="Mouse"/>
    <n v="6"/>
    <n v="800"/>
    <n v="15"/>
    <n v="4080"/>
    <n v="2874.48"/>
    <n v="1205.52"/>
    <s v="Net Banking"/>
  </r>
  <r>
    <s v="ORD00174"/>
    <s v="23-Jun-2025"/>
    <x v="2"/>
    <s v="West Bengal"/>
    <s v="Anita"/>
    <s v="Global Mart"/>
    <x v="0"/>
    <s v="Keyboard"/>
    <n v="2"/>
    <n v="1500"/>
    <n v="0"/>
    <n v="3000"/>
    <n v="2284.4299999999998"/>
    <n v="715.57"/>
    <s v="Cash"/>
  </r>
  <r>
    <s v="ORD00175"/>
    <s v="18-Jan-2025"/>
    <x v="1"/>
    <s v="Delhi"/>
    <s v="Rahul"/>
    <s v="XYZ Ltd"/>
    <x v="1"/>
    <s v="Office Chair"/>
    <n v="8"/>
    <n v="6000"/>
    <n v="0"/>
    <n v="48000"/>
    <n v="40883.57"/>
    <n v="7116.43"/>
    <s v="Card"/>
  </r>
  <r>
    <s v="ORD00176"/>
    <s v="19-Mar-2025"/>
    <x v="0"/>
    <s v="Gujarat"/>
    <s v="Sneha"/>
    <s v="XYZ Ltd"/>
    <x v="1"/>
    <s v="Office Chair"/>
    <n v="10"/>
    <n v="6000"/>
    <n v="5"/>
    <n v="57000"/>
    <n v="38824.51"/>
    <n v="18175.490000000002"/>
    <s v="Net Banking"/>
  </r>
  <r>
    <s v="ORD00177"/>
    <s v="30-Mar-2025"/>
    <x v="0"/>
    <s v="Gujarat"/>
    <s v="Kiran"/>
    <s v="Tech Solutions"/>
    <x v="1"/>
    <s v="Office Chair"/>
    <n v="6"/>
    <n v="6000"/>
    <n v="10"/>
    <n v="32400"/>
    <n v="25455.22"/>
    <n v="6944.78"/>
    <s v="Cash"/>
  </r>
  <r>
    <s v="ORD00178"/>
    <s v="16-Nov-2025"/>
    <x v="1"/>
    <s v="Haryana"/>
    <s v="Priya"/>
    <s v="Tech Solutions"/>
    <x v="2"/>
    <s v="Mouse"/>
    <n v="9"/>
    <n v="800"/>
    <n v="0"/>
    <n v="7200"/>
    <n v="5788.64"/>
    <n v="1411.36"/>
    <s v="Card"/>
  </r>
  <r>
    <s v="ORD00179"/>
    <s v="12-May-2025"/>
    <x v="1"/>
    <s v="Haryana"/>
    <s v="Arjun"/>
    <s v="Global Mart"/>
    <x v="1"/>
    <s v="Desk"/>
    <n v="5"/>
    <n v="10000"/>
    <n v="0"/>
    <n v="50000"/>
    <n v="40657.26"/>
    <n v="9342.74"/>
    <s v="Cash"/>
  </r>
  <r>
    <s v="ORD00180"/>
    <s v="08-Jul-2025"/>
    <x v="3"/>
    <s v="Karnataka"/>
    <s v="Priya"/>
    <s v="Prime Stores"/>
    <x v="0"/>
    <s v="Monitor"/>
    <n v="2"/>
    <n v="12000"/>
    <n v="0"/>
    <n v="24000"/>
    <n v="15613.18"/>
    <n v="8386.82"/>
    <s v="Net Banking"/>
  </r>
  <r>
    <s v="ORD00181"/>
    <s v="07-Apr-2025"/>
    <x v="2"/>
    <s v="West Bengal"/>
    <s v="Arjun"/>
    <s v="ABC Pvt Ltd"/>
    <x v="2"/>
    <s v="USB Drive"/>
    <n v="3"/>
    <n v="900"/>
    <n v="0"/>
    <n v="2700"/>
    <n v="1814.39"/>
    <n v="885.61"/>
    <s v="Cash"/>
  </r>
  <r>
    <s v="ORD00182"/>
    <s v="24-Nov-2025"/>
    <x v="1"/>
    <s v="Punjab"/>
    <s v="Kiran"/>
    <s v="Global Mart"/>
    <x v="2"/>
    <s v="Mouse"/>
    <n v="10"/>
    <n v="800"/>
    <n v="15"/>
    <n v="6800"/>
    <n v="4930.21"/>
    <n v="1869.79"/>
    <s v="Cash"/>
  </r>
  <r>
    <s v="ORD00183"/>
    <s v="15-May-2025"/>
    <x v="1"/>
    <s v="Haryana"/>
    <s v="Sneha"/>
    <s v="Vision Corp"/>
    <x v="0"/>
    <s v="Keyboard"/>
    <n v="3"/>
    <n v="1500"/>
    <n v="10"/>
    <n v="4050"/>
    <n v="3095.92"/>
    <n v="954.08"/>
    <s v="Card"/>
  </r>
  <r>
    <s v="ORD00184"/>
    <s v="13-Feb-2025"/>
    <x v="0"/>
    <s v="Gujarat"/>
    <s v="Kiran"/>
    <s v="ABC Pvt Ltd"/>
    <x v="1"/>
    <s v="Office Chair"/>
    <n v="10"/>
    <n v="6000"/>
    <n v="0"/>
    <n v="60000"/>
    <n v="47754.51"/>
    <n v="12245.49"/>
    <s v="Card"/>
  </r>
  <r>
    <s v="ORD00185"/>
    <s v="22-Feb-2025"/>
    <x v="2"/>
    <s v="West Bengal"/>
    <s v="Rahul"/>
    <s v="ABC Pvt Ltd"/>
    <x v="0"/>
    <s v="Monitor"/>
    <n v="8"/>
    <n v="12000"/>
    <n v="0"/>
    <n v="96000"/>
    <n v="79558.210000000006"/>
    <n v="16441.79"/>
    <s v="Card"/>
  </r>
  <r>
    <s v="ORD00186"/>
    <s v="03-Jan-2025"/>
    <x v="3"/>
    <s v="Tamil Nadu"/>
    <s v="Rahul"/>
    <s v="Global Mart"/>
    <x v="2"/>
    <s v="Headset"/>
    <n v="9"/>
    <n v="2500"/>
    <n v="10"/>
    <n v="20250"/>
    <n v="13164.27"/>
    <n v="7085.73"/>
    <s v="UPI"/>
  </r>
  <r>
    <s v="ORD00187"/>
    <s v="17-Oct-2025"/>
    <x v="1"/>
    <s v="Punjab"/>
    <s v="Kiran"/>
    <s v="Vision Corp"/>
    <x v="1"/>
    <s v="Desk"/>
    <n v="6"/>
    <n v="10000"/>
    <n v="5"/>
    <n v="57000"/>
    <n v="41309.660000000003"/>
    <n v="15690.34"/>
    <s v="Cash"/>
  </r>
  <r>
    <s v="ORD00188"/>
    <s v="29-Aug-2025"/>
    <x v="3"/>
    <s v="Telangana"/>
    <s v="Anita"/>
    <s v="Prime Stores"/>
    <x v="2"/>
    <s v="Headset"/>
    <n v="9"/>
    <n v="2500"/>
    <n v="10"/>
    <n v="20250"/>
    <n v="16600.189999999999"/>
    <n v="3649.81"/>
    <s v="Cash"/>
  </r>
  <r>
    <s v="ORD00189"/>
    <s v="29-Nov-2025"/>
    <x v="2"/>
    <s v="West Bengal"/>
    <s v="Arjun"/>
    <s v="Tech Solutions"/>
    <x v="0"/>
    <s v="Monitor"/>
    <n v="2"/>
    <n v="12000"/>
    <n v="10"/>
    <n v="21600"/>
    <n v="14135.49"/>
    <n v="7464.51"/>
    <s v="Cash"/>
  </r>
  <r>
    <s v="ORD00190"/>
    <s v="19-May-2025"/>
    <x v="2"/>
    <s v="Odisha"/>
    <s v="Anita"/>
    <s v="Vision Corp"/>
    <x v="2"/>
    <s v="USB Drive"/>
    <n v="6"/>
    <n v="900"/>
    <n v="15"/>
    <n v="4590"/>
    <n v="3403.5"/>
    <n v="1186.5"/>
    <s v="Cash"/>
  </r>
  <r>
    <s v="ORD00191"/>
    <s v="26-Jun-2025"/>
    <x v="0"/>
    <s v="Gujarat"/>
    <s v="Priya"/>
    <s v="XYZ Ltd"/>
    <x v="0"/>
    <s v="Monitor"/>
    <n v="5"/>
    <n v="12000"/>
    <n v="15"/>
    <n v="51000"/>
    <n v="35695.46"/>
    <n v="15304.54"/>
    <s v="UPI"/>
  </r>
  <r>
    <s v="ORD00192"/>
    <s v="08-Feb-2025"/>
    <x v="2"/>
    <s v="Odisha"/>
    <s v="Rahul"/>
    <s v="XYZ Ltd"/>
    <x v="1"/>
    <s v="Office Chair"/>
    <n v="10"/>
    <n v="6000"/>
    <n v="15"/>
    <n v="51000"/>
    <n v="37133.33"/>
    <n v="13866.67"/>
    <s v="Net Banking"/>
  </r>
  <r>
    <s v="ORD00193"/>
    <s v="08-Aug-2025"/>
    <x v="3"/>
    <s v="Telangana"/>
    <s v="Arjun"/>
    <s v="Global Mart"/>
    <x v="0"/>
    <s v="Laptop"/>
    <n v="8"/>
    <n v="55000"/>
    <n v="5"/>
    <n v="418000"/>
    <n v="309124.45"/>
    <n v="108875.55"/>
    <s v="UPI"/>
  </r>
  <r>
    <s v="ORD00194"/>
    <s v="05-Jul-2025"/>
    <x v="2"/>
    <s v="West Bengal"/>
    <s v="Anita"/>
    <s v="ABC Pvt Ltd"/>
    <x v="0"/>
    <s v="Laptop"/>
    <n v="9"/>
    <n v="55000"/>
    <n v="0"/>
    <n v="495000"/>
    <n v="362315.5"/>
    <n v="132684.5"/>
    <s v="Cash"/>
  </r>
  <r>
    <s v="ORD00195"/>
    <s v="07-Apr-2025"/>
    <x v="1"/>
    <s v="Punjab"/>
    <s v="Priya"/>
    <s v="XYZ Ltd"/>
    <x v="1"/>
    <s v="Desk"/>
    <n v="6"/>
    <n v="10000"/>
    <n v="15"/>
    <n v="51000"/>
    <n v="36797.47"/>
    <n v="14202.53"/>
    <s v="Cash"/>
  </r>
  <r>
    <s v="ORD00196"/>
    <s v="20-Aug-2025"/>
    <x v="0"/>
    <s v="Maharashtra"/>
    <s v="Priya"/>
    <s v="ABC Pvt Ltd"/>
    <x v="2"/>
    <s v="Mouse"/>
    <n v="7"/>
    <n v="800"/>
    <n v="15"/>
    <n v="4760"/>
    <n v="3405.66"/>
    <n v="1354.34"/>
    <s v="Cash"/>
  </r>
  <r>
    <s v="ORD00197"/>
    <s v="28-May-2025"/>
    <x v="2"/>
    <s v="Odisha"/>
    <s v="Rahul"/>
    <s v="XYZ Ltd"/>
    <x v="0"/>
    <s v="Laptop"/>
    <n v="1"/>
    <n v="55000"/>
    <n v="15"/>
    <n v="46750"/>
    <n v="35547.25"/>
    <n v="11202.75"/>
    <s v="Cash"/>
  </r>
  <r>
    <s v="ORD00198"/>
    <s v="15-Jan-2025"/>
    <x v="1"/>
    <s v="Delhi"/>
    <s v="Priya"/>
    <s v="Prime Stores"/>
    <x v="2"/>
    <s v="Headset"/>
    <n v="6"/>
    <n v="2500"/>
    <n v="5"/>
    <n v="14250"/>
    <n v="9597.66"/>
    <n v="4652.34"/>
    <s v="Cash"/>
  </r>
  <r>
    <s v="ORD00199"/>
    <s v="01-May-2025"/>
    <x v="2"/>
    <s v="West Bengal"/>
    <s v="Kiran"/>
    <s v="XYZ Ltd"/>
    <x v="0"/>
    <s v="Laptop"/>
    <n v="9"/>
    <n v="55000"/>
    <n v="0"/>
    <n v="495000"/>
    <n v="378859.53"/>
    <n v="116140.47"/>
    <s v="Cash"/>
  </r>
  <r>
    <s v="ORD00200"/>
    <s v="17-May-2025"/>
    <x v="3"/>
    <s v="Telangana"/>
    <s v="Sneha"/>
    <s v="ABC Pvt Ltd"/>
    <x v="2"/>
    <s v="Mouse"/>
    <n v="1"/>
    <n v="800"/>
    <n v="10"/>
    <n v="720"/>
    <n v="616.15"/>
    <n v="103.85"/>
    <s v="Net Banking"/>
  </r>
  <r>
    <s v="ORD00201"/>
    <s v="16-Jun-2025"/>
    <x v="3"/>
    <s v="Telangana"/>
    <s v="Kiran"/>
    <s v="Prime Stores"/>
    <x v="2"/>
    <s v="Mouse"/>
    <n v="4"/>
    <n v="800"/>
    <n v="0"/>
    <n v="3200"/>
    <n v="2840.93"/>
    <n v="359.07"/>
    <s v="UPI"/>
  </r>
  <r>
    <s v="ORD00202"/>
    <s v="15-Jun-2025"/>
    <x v="1"/>
    <s v="Punjab"/>
    <s v="Priya"/>
    <s v="Vision Corp"/>
    <x v="2"/>
    <s v="USB Drive"/>
    <n v="9"/>
    <n v="900"/>
    <n v="0"/>
    <n v="8100"/>
    <n v="5836.75"/>
    <n v="2263.25"/>
    <s v="Net Banking"/>
  </r>
  <r>
    <s v="ORD00203"/>
    <s v="19-Jan-2025"/>
    <x v="1"/>
    <s v="Haryana"/>
    <s v="Kiran"/>
    <s v="XYZ Ltd"/>
    <x v="2"/>
    <s v="Headset"/>
    <n v="2"/>
    <n v="2500"/>
    <n v="0"/>
    <n v="5000"/>
    <n v="4466.9399999999996"/>
    <n v="533.05999999999995"/>
    <s v="Net Banking"/>
  </r>
  <r>
    <s v="ORD00204"/>
    <s v="08-Nov-2025"/>
    <x v="2"/>
    <s v="West Bengal"/>
    <s v="Anita"/>
    <s v="Vision Corp"/>
    <x v="1"/>
    <s v="Office Chair"/>
    <n v="4"/>
    <n v="6000"/>
    <n v="15"/>
    <n v="20400"/>
    <n v="13980.66"/>
    <n v="6419.34"/>
    <s v="Card"/>
  </r>
  <r>
    <s v="ORD00205"/>
    <s v="05-Aug-2025"/>
    <x v="3"/>
    <s v="Telangana"/>
    <s v="Kiran"/>
    <s v="ABC Pvt Ltd"/>
    <x v="2"/>
    <s v="Mouse"/>
    <n v="1"/>
    <n v="800"/>
    <n v="10"/>
    <n v="720"/>
    <n v="596.83000000000004"/>
    <n v="123.17"/>
    <s v="Net Banking"/>
  </r>
  <r>
    <s v="ORD00206"/>
    <s v="03-Jul-2025"/>
    <x v="1"/>
    <s v="Punjab"/>
    <s v="Arjun"/>
    <s v="Vision Corp"/>
    <x v="2"/>
    <s v="Mouse"/>
    <n v="1"/>
    <n v="800"/>
    <n v="15"/>
    <n v="680"/>
    <n v="446.78"/>
    <n v="233.22"/>
    <s v="Net Banking"/>
  </r>
  <r>
    <s v="ORD00207"/>
    <s v="27-Dec-2025"/>
    <x v="1"/>
    <s v="Delhi"/>
    <s v="Kiran"/>
    <s v="Global Mart"/>
    <x v="1"/>
    <s v="Office Chair"/>
    <n v="10"/>
    <n v="6000"/>
    <n v="15"/>
    <n v="51000"/>
    <n v="34178.85"/>
    <n v="16821.150000000001"/>
    <s v="Net Banking"/>
  </r>
  <r>
    <s v="ORD00208"/>
    <s v="05-May-2025"/>
    <x v="2"/>
    <s v="West Bengal"/>
    <s v="Arjun"/>
    <s v="Vision Corp"/>
    <x v="1"/>
    <s v="Office Chair"/>
    <n v="7"/>
    <n v="6000"/>
    <n v="10"/>
    <n v="37800"/>
    <n v="24888.44"/>
    <n v="12911.56"/>
    <s v="Net Banking"/>
  </r>
  <r>
    <s v="ORD00209"/>
    <s v="11-May-2025"/>
    <x v="2"/>
    <s v="West Bengal"/>
    <s v="Arjun"/>
    <s v="Tech Solutions"/>
    <x v="1"/>
    <s v="Office Chair"/>
    <n v="6"/>
    <n v="6000"/>
    <n v="10"/>
    <n v="32400"/>
    <n v="25442"/>
    <n v="6958"/>
    <s v="Card"/>
  </r>
  <r>
    <s v="ORD00210"/>
    <s v="13-Mar-2025"/>
    <x v="1"/>
    <s v="Punjab"/>
    <s v="Sneha"/>
    <s v="Prime Stores"/>
    <x v="1"/>
    <s v="Office Chair"/>
    <n v="8"/>
    <n v="6000"/>
    <n v="10"/>
    <n v="43200"/>
    <n v="32975.379999999997"/>
    <n v="10224.620000000001"/>
    <s v="Cash"/>
  </r>
  <r>
    <s v="ORD00211"/>
    <s v="05-Sep-2025"/>
    <x v="3"/>
    <s v="Tamil Nadu"/>
    <s v="Arjun"/>
    <s v="Prime Stores"/>
    <x v="0"/>
    <s v="Keyboard"/>
    <n v="1"/>
    <n v="1500"/>
    <n v="0"/>
    <n v="1500"/>
    <n v="1292.21"/>
    <n v="207.79"/>
    <s v="UPI"/>
  </r>
  <r>
    <s v="ORD00212"/>
    <s v="14-Jun-2025"/>
    <x v="3"/>
    <s v="Telangana"/>
    <s v="Arjun"/>
    <s v="Vision Corp"/>
    <x v="0"/>
    <s v="Keyboard"/>
    <n v="4"/>
    <n v="1500"/>
    <n v="0"/>
    <n v="6000"/>
    <n v="4607.08"/>
    <n v="1392.92"/>
    <s v="Cash"/>
  </r>
  <r>
    <s v="ORD00213"/>
    <s v="05-Apr-2025"/>
    <x v="1"/>
    <s v="Haryana"/>
    <s v="Priya"/>
    <s v="Tech Solutions"/>
    <x v="2"/>
    <s v="Headset"/>
    <n v="8"/>
    <n v="2500"/>
    <n v="5"/>
    <n v="19000"/>
    <n v="14732.84"/>
    <n v="4267.16"/>
    <s v="Card"/>
  </r>
  <r>
    <s v="ORD00214"/>
    <s v="11-Dec-2025"/>
    <x v="2"/>
    <s v="West Bengal"/>
    <s v="Arjun"/>
    <s v="ABC Pvt Ltd"/>
    <x v="1"/>
    <s v="Desk"/>
    <n v="9"/>
    <n v="10000"/>
    <n v="0"/>
    <n v="90000"/>
    <n v="68955.13"/>
    <n v="21044.87"/>
    <s v="Cash"/>
  </r>
  <r>
    <s v="ORD00215"/>
    <s v="21-Jan-2025"/>
    <x v="2"/>
    <s v="Odisha"/>
    <s v="Arjun"/>
    <s v="ABC Pvt Ltd"/>
    <x v="0"/>
    <s v="Keyboard"/>
    <n v="10"/>
    <n v="1500"/>
    <n v="0"/>
    <n v="15000"/>
    <n v="9974.5499999999993"/>
    <n v="5025.45"/>
    <s v="Card"/>
  </r>
  <r>
    <s v="ORD00216"/>
    <s v="19-Jan-2025"/>
    <x v="1"/>
    <s v="Delhi"/>
    <s v="Kiran"/>
    <s v="Tech Solutions"/>
    <x v="0"/>
    <s v="Laptop"/>
    <n v="7"/>
    <n v="55000"/>
    <n v="15"/>
    <n v="327250"/>
    <n v="235161.60000000001"/>
    <n v="92088.4"/>
    <s v="Cash"/>
  </r>
  <r>
    <s v="ORD00217"/>
    <s v="12-Mar-2025"/>
    <x v="3"/>
    <s v="Tamil Nadu"/>
    <s v="Priya"/>
    <s v="Vision Corp"/>
    <x v="0"/>
    <s v="Monitor"/>
    <n v="5"/>
    <n v="12000"/>
    <n v="15"/>
    <n v="51000"/>
    <n v="38161.599999999999"/>
    <n v="12838.4"/>
    <s v="UPI"/>
  </r>
  <r>
    <s v="ORD00218"/>
    <s v="24-Dec-2025"/>
    <x v="2"/>
    <s v="Odisha"/>
    <s v="Rahul"/>
    <s v="Tech Solutions"/>
    <x v="2"/>
    <s v="Headset"/>
    <n v="6"/>
    <n v="2500"/>
    <n v="10"/>
    <n v="13500"/>
    <n v="10758.76"/>
    <n v="2741.24"/>
    <s v="Net Banking"/>
  </r>
  <r>
    <s v="ORD00219"/>
    <s v="14-Jun-2025"/>
    <x v="0"/>
    <s v="Gujarat"/>
    <s v="Kiran"/>
    <s v="Vision Corp"/>
    <x v="0"/>
    <s v="Monitor"/>
    <n v="2"/>
    <n v="12000"/>
    <n v="5"/>
    <n v="22800"/>
    <n v="16526.29"/>
    <n v="6273.71"/>
    <s v="UPI"/>
  </r>
  <r>
    <s v="ORD00220"/>
    <s v="28-Jul-2025"/>
    <x v="0"/>
    <s v="Maharashtra"/>
    <s v="Arjun"/>
    <s v="XYZ Ltd"/>
    <x v="0"/>
    <s v="Monitor"/>
    <n v="10"/>
    <n v="12000"/>
    <n v="5"/>
    <n v="114000"/>
    <n v="90350.69"/>
    <n v="23649.31"/>
    <s v="Net Banking"/>
  </r>
  <r>
    <s v="ORD00221"/>
    <s v="20-Feb-2025"/>
    <x v="3"/>
    <s v="Telangana"/>
    <s v="Priya"/>
    <s v="ABC Pvt Ltd"/>
    <x v="0"/>
    <s v="Monitor"/>
    <n v="6"/>
    <n v="12000"/>
    <n v="10"/>
    <n v="64800"/>
    <n v="48988.93"/>
    <n v="15811.07"/>
    <s v="Net Banking"/>
  </r>
  <r>
    <s v="ORD00222"/>
    <s v="25-Jul-2025"/>
    <x v="2"/>
    <s v="Odisha"/>
    <s v="Kiran"/>
    <s v="Prime Stores"/>
    <x v="0"/>
    <s v="Laptop"/>
    <n v="7"/>
    <n v="55000"/>
    <n v="0"/>
    <n v="385000"/>
    <n v="336331.91"/>
    <n v="48668.09"/>
    <s v="Card"/>
  </r>
  <r>
    <s v="ORD00223"/>
    <s v="22-May-2025"/>
    <x v="2"/>
    <s v="Odisha"/>
    <s v="Kiran"/>
    <s v="Vision Corp"/>
    <x v="0"/>
    <s v="Laptop"/>
    <n v="7"/>
    <n v="55000"/>
    <n v="0"/>
    <n v="385000"/>
    <n v="282499.12"/>
    <n v="102500.88"/>
    <s v="UPI"/>
  </r>
  <r>
    <s v="ORD00224"/>
    <s v="09-Dec-2025"/>
    <x v="1"/>
    <s v="Punjab"/>
    <s v="Sneha"/>
    <s v="Tech Solutions"/>
    <x v="2"/>
    <s v="Headset"/>
    <n v="7"/>
    <n v="2500"/>
    <n v="15"/>
    <n v="14875"/>
    <n v="11565.6"/>
    <n v="3309.4"/>
    <s v="UPI"/>
  </r>
  <r>
    <s v="ORD00225"/>
    <s v="25-Apr-2025"/>
    <x v="1"/>
    <s v="Punjab"/>
    <s v="Priya"/>
    <s v="Tech Solutions"/>
    <x v="2"/>
    <s v="Headset"/>
    <n v="3"/>
    <n v="2500"/>
    <n v="5"/>
    <n v="7125"/>
    <n v="5217.5600000000004"/>
    <n v="1907.44"/>
    <s v="Card"/>
  </r>
  <r>
    <s v="ORD00226"/>
    <s v="23-Feb-2025"/>
    <x v="3"/>
    <s v="Karnataka"/>
    <s v="Rahul"/>
    <s v="Global Mart"/>
    <x v="1"/>
    <s v="Desk"/>
    <n v="9"/>
    <n v="10000"/>
    <n v="5"/>
    <n v="85500"/>
    <n v="58305.57"/>
    <n v="27194.43"/>
    <s v="UPI"/>
  </r>
  <r>
    <s v="ORD00227"/>
    <s v="29-Jan-2025"/>
    <x v="1"/>
    <s v="Punjab"/>
    <s v="Arjun"/>
    <s v="ABC Pvt Ltd"/>
    <x v="0"/>
    <s v="Keyboard"/>
    <n v="2"/>
    <n v="1500"/>
    <n v="0"/>
    <n v="3000"/>
    <n v="2076.4899999999998"/>
    <n v="923.51"/>
    <s v="Card"/>
  </r>
  <r>
    <s v="ORD00228"/>
    <s v="21-Jun-2025"/>
    <x v="0"/>
    <s v="Gujarat"/>
    <s v="Arjun"/>
    <s v="XYZ Ltd"/>
    <x v="0"/>
    <s v="Keyboard"/>
    <n v="4"/>
    <n v="1500"/>
    <n v="15"/>
    <n v="5100"/>
    <n v="4231.3100000000004"/>
    <n v="868.69"/>
    <s v="UPI"/>
  </r>
  <r>
    <s v="ORD00229"/>
    <s v="22-Feb-2025"/>
    <x v="1"/>
    <s v="Haryana"/>
    <s v="Priya"/>
    <s v="Tech Solutions"/>
    <x v="1"/>
    <s v="Desk"/>
    <n v="4"/>
    <n v="10000"/>
    <n v="0"/>
    <n v="40000"/>
    <n v="29309.73"/>
    <n v="10690.27"/>
    <s v="Net Banking"/>
  </r>
  <r>
    <s v="ORD00230"/>
    <s v="05-Dec-2025"/>
    <x v="2"/>
    <s v="Odisha"/>
    <s v="Arjun"/>
    <s v="Global Mart"/>
    <x v="1"/>
    <s v="Desk"/>
    <n v="8"/>
    <n v="10000"/>
    <n v="15"/>
    <n v="68000"/>
    <n v="52196.07"/>
    <n v="15803.93"/>
    <s v="Card"/>
  </r>
  <r>
    <s v="ORD00231"/>
    <s v="08-Feb-2025"/>
    <x v="1"/>
    <s v="Punjab"/>
    <s v="Anita"/>
    <s v="ABC Pvt Ltd"/>
    <x v="2"/>
    <s v="USB Drive"/>
    <n v="4"/>
    <n v="900"/>
    <n v="0"/>
    <n v="3600"/>
    <n v="2372.5700000000002"/>
    <n v="1227.43"/>
    <s v="UPI"/>
  </r>
  <r>
    <s v="ORD00232"/>
    <s v="18-Apr-2025"/>
    <x v="2"/>
    <s v="Odisha"/>
    <s v="Priya"/>
    <s v="Tech Solutions"/>
    <x v="1"/>
    <s v="Desk"/>
    <n v="1"/>
    <n v="10000"/>
    <n v="0"/>
    <n v="10000"/>
    <n v="6772.06"/>
    <n v="3227.94"/>
    <s v="UPI"/>
  </r>
  <r>
    <s v="ORD00233"/>
    <s v="09-Feb-2025"/>
    <x v="3"/>
    <s v="Telangana"/>
    <s v="Rahul"/>
    <s v="Prime Stores"/>
    <x v="0"/>
    <s v="Monitor"/>
    <n v="3"/>
    <n v="12000"/>
    <n v="5"/>
    <n v="34200"/>
    <n v="25733.65"/>
    <n v="8466.35"/>
    <s v="UPI"/>
  </r>
  <r>
    <s v="ORD00234"/>
    <s v="11-Jun-2025"/>
    <x v="0"/>
    <s v="Maharashtra"/>
    <s v="Rahul"/>
    <s v="Vision Corp"/>
    <x v="0"/>
    <s v="Monitor"/>
    <n v="10"/>
    <n v="12000"/>
    <n v="15"/>
    <n v="102000"/>
    <n v="85807.19"/>
    <n v="16192.81"/>
    <s v="Cash"/>
  </r>
  <r>
    <s v="ORD00235"/>
    <s v="30-Jan-2025"/>
    <x v="3"/>
    <s v="Telangana"/>
    <s v="Kiran"/>
    <s v="XYZ Ltd"/>
    <x v="2"/>
    <s v="Headset"/>
    <n v="4"/>
    <n v="2500"/>
    <n v="0"/>
    <n v="10000"/>
    <n v="7571.84"/>
    <n v="2428.16"/>
    <s v="Cash"/>
  </r>
  <r>
    <s v="ORD00236"/>
    <s v="03-Nov-2025"/>
    <x v="1"/>
    <s v="Delhi"/>
    <s v="Rahul"/>
    <s v="ABC Pvt Ltd"/>
    <x v="0"/>
    <s v="Laptop"/>
    <n v="8"/>
    <n v="55000"/>
    <n v="5"/>
    <n v="418000"/>
    <n v="357589.37"/>
    <n v="60410.63"/>
    <s v="Net Banking"/>
  </r>
  <r>
    <s v="ORD00237"/>
    <s v="02-Mar-2025"/>
    <x v="3"/>
    <s v="Telangana"/>
    <s v="Kiran"/>
    <s v="ABC Pvt Ltd"/>
    <x v="2"/>
    <s v="Mouse"/>
    <n v="3"/>
    <n v="800"/>
    <n v="15"/>
    <n v="2040"/>
    <n v="1588.68"/>
    <n v="451.32"/>
    <s v="Card"/>
  </r>
  <r>
    <s v="ORD00238"/>
    <s v="04-Aug-2025"/>
    <x v="1"/>
    <s v="Punjab"/>
    <s v="Rahul"/>
    <s v="Tech Solutions"/>
    <x v="2"/>
    <s v="USB Drive"/>
    <n v="4"/>
    <n v="900"/>
    <n v="10"/>
    <n v="3240"/>
    <n v="2473.83"/>
    <n v="766.17"/>
    <s v="Card"/>
  </r>
  <r>
    <s v="ORD00239"/>
    <s v="12-Jan-2025"/>
    <x v="2"/>
    <s v="West Bengal"/>
    <s v="Rahul"/>
    <s v="XYZ Ltd"/>
    <x v="2"/>
    <s v="USB Drive"/>
    <n v="10"/>
    <n v="900"/>
    <n v="15"/>
    <n v="7650"/>
    <n v="5372.48"/>
    <n v="2277.52"/>
    <s v="Card"/>
  </r>
  <r>
    <s v="ORD00240"/>
    <s v="27-Mar-2025"/>
    <x v="0"/>
    <s v="Maharashtra"/>
    <s v="Arjun"/>
    <s v="ABC Pvt Ltd"/>
    <x v="1"/>
    <s v="Desk"/>
    <n v="10"/>
    <n v="10000"/>
    <n v="5"/>
    <n v="95000"/>
    <n v="70972"/>
    <n v="24028"/>
    <s v="Cash"/>
  </r>
  <r>
    <s v="ORD00241"/>
    <s v="27-Dec-2025"/>
    <x v="2"/>
    <s v="West Bengal"/>
    <s v="Anita"/>
    <s v="ABC Pvt Ltd"/>
    <x v="1"/>
    <s v="Office Chair"/>
    <n v="6"/>
    <n v="6000"/>
    <n v="5"/>
    <n v="34200"/>
    <n v="24129.4"/>
    <n v="10070.6"/>
    <s v="Card"/>
  </r>
  <r>
    <s v="ORD00242"/>
    <s v="16-Jul-2025"/>
    <x v="2"/>
    <s v="West Bengal"/>
    <s v="Anita"/>
    <s v="Global Mart"/>
    <x v="2"/>
    <s v="Headset"/>
    <n v="8"/>
    <n v="2500"/>
    <n v="10"/>
    <n v="18000"/>
    <n v="15146"/>
    <n v="2854"/>
    <s v="UPI"/>
  </r>
  <r>
    <s v="ORD00243"/>
    <s v="23-Dec-2025"/>
    <x v="2"/>
    <s v="Odisha"/>
    <s v="Rahul"/>
    <s v="Tech Solutions"/>
    <x v="1"/>
    <s v="Desk"/>
    <n v="10"/>
    <n v="10000"/>
    <n v="15"/>
    <n v="85000"/>
    <n v="72913.69"/>
    <n v="12086.31"/>
    <s v="Cash"/>
  </r>
  <r>
    <s v="ORD00244"/>
    <s v="25-May-2025"/>
    <x v="2"/>
    <s v="Odisha"/>
    <s v="Kiran"/>
    <s v="Global Mart"/>
    <x v="1"/>
    <s v="Office Chair"/>
    <n v="8"/>
    <n v="6000"/>
    <n v="15"/>
    <n v="40800"/>
    <n v="36122.050000000003"/>
    <n v="4677.95"/>
    <s v="Cash"/>
  </r>
  <r>
    <s v="ORD00245"/>
    <s v="23-Apr-2025"/>
    <x v="2"/>
    <s v="West Bengal"/>
    <s v="Kiran"/>
    <s v="Prime Stores"/>
    <x v="0"/>
    <s v="Monitor"/>
    <n v="3"/>
    <n v="12000"/>
    <n v="0"/>
    <n v="36000"/>
    <n v="24960.43"/>
    <n v="11039.57"/>
    <s v="Cash"/>
  </r>
  <r>
    <s v="ORD00246"/>
    <s v="12-Mar-2025"/>
    <x v="3"/>
    <s v="Telangana"/>
    <s v="Arjun"/>
    <s v="ABC Pvt Ltd"/>
    <x v="0"/>
    <s v="Laptop"/>
    <n v="1"/>
    <n v="55000"/>
    <n v="0"/>
    <n v="55000"/>
    <n v="36319.53"/>
    <n v="18680.47"/>
    <s v="Net Banking"/>
  </r>
  <r>
    <s v="ORD00247"/>
    <s v="28-Nov-2025"/>
    <x v="3"/>
    <s v="Karnataka"/>
    <s v="Kiran"/>
    <s v="Tech Solutions"/>
    <x v="0"/>
    <s v="Laptop"/>
    <n v="6"/>
    <n v="55000"/>
    <n v="0"/>
    <n v="330000"/>
    <n v="224855.47"/>
    <n v="105144.53"/>
    <s v="Net Banking"/>
  </r>
  <r>
    <s v="ORD00248"/>
    <s v="06-Oct-2025"/>
    <x v="2"/>
    <s v="West Bengal"/>
    <s v="Rahul"/>
    <s v="Vision Corp"/>
    <x v="1"/>
    <s v="Office Chair"/>
    <n v="2"/>
    <n v="6000"/>
    <n v="5"/>
    <n v="11400"/>
    <n v="7587.73"/>
    <n v="3812.27"/>
    <s v="UPI"/>
  </r>
  <r>
    <s v="ORD00249"/>
    <s v="04-Apr-2025"/>
    <x v="3"/>
    <s v="Karnataka"/>
    <s v="Kiran"/>
    <s v="Prime Stores"/>
    <x v="1"/>
    <s v="Desk"/>
    <n v="3"/>
    <n v="10000"/>
    <n v="0"/>
    <n v="30000"/>
    <n v="20570.21"/>
    <n v="9429.7900000000009"/>
    <s v="Card"/>
  </r>
  <r>
    <s v="ORD00250"/>
    <s v="14-May-2025"/>
    <x v="1"/>
    <s v="Haryana"/>
    <s v="Kiran"/>
    <s v="ABC Pvt Ltd"/>
    <x v="1"/>
    <s v="Desk"/>
    <n v="1"/>
    <n v="10000"/>
    <n v="5"/>
    <n v="9500"/>
    <n v="7011.46"/>
    <n v="2488.54"/>
    <s v="Cash"/>
  </r>
  <r>
    <s v="ORD00251"/>
    <s v="31-May-2025"/>
    <x v="1"/>
    <s v="Punjab"/>
    <s v="Arjun"/>
    <s v="ABC Pvt Ltd"/>
    <x v="0"/>
    <s v="Monitor"/>
    <n v="2"/>
    <n v="12000"/>
    <n v="10"/>
    <n v="21600"/>
    <n v="17812.689999999999"/>
    <n v="3787.31"/>
    <s v="Card"/>
  </r>
  <r>
    <s v="ORD00252"/>
    <s v="28-May-2025"/>
    <x v="3"/>
    <s v="Karnataka"/>
    <s v="Anita"/>
    <s v="Prime Stores"/>
    <x v="1"/>
    <s v="Office Chair"/>
    <n v="8"/>
    <n v="6000"/>
    <n v="5"/>
    <n v="45600"/>
    <n v="31213.5"/>
    <n v="14386.5"/>
    <s v="Cash"/>
  </r>
  <r>
    <s v="ORD00253"/>
    <s v="30-Jun-2025"/>
    <x v="0"/>
    <s v="Gujarat"/>
    <s v="Sneha"/>
    <s v="XYZ Ltd"/>
    <x v="1"/>
    <s v="Office Chair"/>
    <n v="6"/>
    <n v="6000"/>
    <n v="5"/>
    <n v="34200"/>
    <n v="25729.9"/>
    <n v="8470.1"/>
    <s v="UPI"/>
  </r>
  <r>
    <s v="ORD00254"/>
    <s v="15-Mar-2025"/>
    <x v="1"/>
    <s v="Delhi"/>
    <s v="Sneha"/>
    <s v="Prime Stores"/>
    <x v="0"/>
    <s v="Monitor"/>
    <n v="5"/>
    <n v="12000"/>
    <n v="0"/>
    <n v="60000"/>
    <n v="43259.46"/>
    <n v="16740.54"/>
    <s v="Net Banking"/>
  </r>
  <r>
    <s v="ORD00255"/>
    <s v="03-Feb-2025"/>
    <x v="1"/>
    <s v="Haryana"/>
    <s v="Anita"/>
    <s v="XYZ Ltd"/>
    <x v="2"/>
    <s v="Mouse"/>
    <n v="9"/>
    <n v="800"/>
    <n v="0"/>
    <n v="7200"/>
    <n v="5112.6400000000003"/>
    <n v="2087.36"/>
    <s v="UPI"/>
  </r>
  <r>
    <s v="ORD00256"/>
    <s v="23-Apr-2025"/>
    <x v="2"/>
    <s v="Odisha"/>
    <s v="Rahul"/>
    <s v="Global Mart"/>
    <x v="0"/>
    <s v="Keyboard"/>
    <n v="2"/>
    <n v="1500"/>
    <n v="5"/>
    <n v="2850"/>
    <n v="1942"/>
    <n v="908"/>
    <s v="Net Banking"/>
  </r>
  <r>
    <s v="ORD00257"/>
    <s v="31-Aug-2025"/>
    <x v="1"/>
    <s v="Haryana"/>
    <s v="Priya"/>
    <s v="Vision Corp"/>
    <x v="1"/>
    <s v="Office Chair"/>
    <n v="10"/>
    <n v="6000"/>
    <n v="5"/>
    <n v="57000"/>
    <n v="42727.95"/>
    <n v="14272.05"/>
    <s v="UPI"/>
  </r>
  <r>
    <s v="ORD00258"/>
    <s v="28-May-2025"/>
    <x v="2"/>
    <s v="West Bengal"/>
    <s v="Arjun"/>
    <s v="Tech Solutions"/>
    <x v="0"/>
    <s v="Monitor"/>
    <n v="1"/>
    <n v="12000"/>
    <n v="15"/>
    <n v="10200"/>
    <n v="6987.74"/>
    <n v="3212.26"/>
    <s v="Cash"/>
  </r>
  <r>
    <s v="ORD00259"/>
    <s v="29-Aug-2025"/>
    <x v="3"/>
    <s v="Telangana"/>
    <s v="Rahul"/>
    <s v="Global Mart"/>
    <x v="1"/>
    <s v="Office Chair"/>
    <n v="4"/>
    <n v="6000"/>
    <n v="15"/>
    <n v="20400"/>
    <n v="17399.169999999998"/>
    <n v="3000.83"/>
    <s v="UPI"/>
  </r>
  <r>
    <s v="ORD00260"/>
    <s v="15-May-2025"/>
    <x v="0"/>
    <s v="Maharashtra"/>
    <s v="Sneha"/>
    <s v="XYZ Ltd"/>
    <x v="1"/>
    <s v="Office Chair"/>
    <n v="10"/>
    <n v="6000"/>
    <n v="5"/>
    <n v="57000"/>
    <n v="44575.72"/>
    <n v="12424.28"/>
    <s v="Net Banking"/>
  </r>
  <r>
    <s v="ORD00261"/>
    <s v="13-Aug-2025"/>
    <x v="3"/>
    <s v="Telangana"/>
    <s v="Sneha"/>
    <s v="XYZ Ltd"/>
    <x v="2"/>
    <s v="Headset"/>
    <n v="7"/>
    <n v="2500"/>
    <n v="10"/>
    <n v="15750"/>
    <n v="11698.38"/>
    <n v="4051.62"/>
    <s v="Cash"/>
  </r>
  <r>
    <s v="ORD00262"/>
    <s v="26-Oct-2025"/>
    <x v="0"/>
    <s v="Gujarat"/>
    <s v="Rahul"/>
    <s v="Global Mart"/>
    <x v="2"/>
    <s v="USB Drive"/>
    <n v="8"/>
    <n v="900"/>
    <n v="5"/>
    <n v="6840"/>
    <n v="4951.08"/>
    <n v="1888.92"/>
    <s v="UPI"/>
  </r>
  <r>
    <s v="ORD00263"/>
    <s v="25-Jul-2025"/>
    <x v="0"/>
    <s v="Gujarat"/>
    <s v="Sneha"/>
    <s v="Vision Corp"/>
    <x v="1"/>
    <s v="Office Chair"/>
    <n v="1"/>
    <n v="6000"/>
    <n v="0"/>
    <n v="6000"/>
    <n v="4092.28"/>
    <n v="1907.72"/>
    <s v="Cash"/>
  </r>
  <r>
    <s v="ORD00264"/>
    <s v="26-May-2025"/>
    <x v="3"/>
    <s v="Tamil Nadu"/>
    <s v="Arjun"/>
    <s v="ABC Pvt Ltd"/>
    <x v="0"/>
    <s v="Keyboard"/>
    <n v="3"/>
    <n v="1500"/>
    <n v="15"/>
    <n v="3825"/>
    <n v="2976.36"/>
    <n v="848.64"/>
    <s v="Card"/>
  </r>
  <r>
    <s v="ORD00265"/>
    <s v="09-Feb-2025"/>
    <x v="2"/>
    <s v="West Bengal"/>
    <s v="Priya"/>
    <s v="Tech Solutions"/>
    <x v="1"/>
    <s v="Desk"/>
    <n v="3"/>
    <n v="10000"/>
    <n v="15"/>
    <n v="25500"/>
    <n v="20531.13"/>
    <n v="4968.87"/>
    <s v="Card"/>
  </r>
  <r>
    <s v="ORD00266"/>
    <s v="04-May-2025"/>
    <x v="0"/>
    <s v="Maharashtra"/>
    <s v="Arjun"/>
    <s v="XYZ Ltd"/>
    <x v="1"/>
    <s v="Desk"/>
    <n v="2"/>
    <n v="10000"/>
    <n v="15"/>
    <n v="17000"/>
    <n v="12660.52"/>
    <n v="4339.4799999999996"/>
    <s v="Cash"/>
  </r>
  <r>
    <s v="ORD00267"/>
    <s v="09-Aug-2025"/>
    <x v="3"/>
    <s v="Tamil Nadu"/>
    <s v="Rahul"/>
    <s v="XYZ Ltd"/>
    <x v="2"/>
    <s v="Headset"/>
    <n v="4"/>
    <n v="2500"/>
    <n v="0"/>
    <n v="10000"/>
    <n v="7335.84"/>
    <n v="2664.16"/>
    <s v="Net Banking"/>
  </r>
  <r>
    <s v="ORD00268"/>
    <s v="20-Dec-2025"/>
    <x v="1"/>
    <s v="Haryana"/>
    <s v="Kiran"/>
    <s v="Prime Stores"/>
    <x v="1"/>
    <s v="Office Chair"/>
    <n v="1"/>
    <n v="6000"/>
    <n v="10"/>
    <n v="5400"/>
    <n v="4229.4799999999996"/>
    <n v="1170.52"/>
    <s v="Card"/>
  </r>
  <r>
    <s v="ORD00269"/>
    <s v="03-Jan-2025"/>
    <x v="1"/>
    <s v="Haryana"/>
    <s v="Arjun"/>
    <s v="XYZ Ltd"/>
    <x v="1"/>
    <s v="Office Chair"/>
    <n v="10"/>
    <n v="6000"/>
    <n v="5"/>
    <n v="57000"/>
    <n v="50955.78"/>
    <n v="6044.22"/>
    <s v="UPI"/>
  </r>
  <r>
    <s v="ORD00270"/>
    <s v="09-Oct-2025"/>
    <x v="3"/>
    <s v="Tamil Nadu"/>
    <s v="Rahul"/>
    <s v="Prime Stores"/>
    <x v="1"/>
    <s v="Office Chair"/>
    <n v="2"/>
    <n v="6000"/>
    <n v="10"/>
    <n v="10800"/>
    <n v="7776.07"/>
    <n v="3023.93"/>
    <s v="Card"/>
  </r>
  <r>
    <s v="ORD00271"/>
    <s v="26-Sep-2025"/>
    <x v="2"/>
    <s v="West Bengal"/>
    <s v="Anita"/>
    <s v="ABC Pvt Ltd"/>
    <x v="2"/>
    <s v="Headset"/>
    <n v="9"/>
    <n v="2500"/>
    <n v="0"/>
    <n v="22500"/>
    <n v="17542.080000000002"/>
    <n v="4957.92"/>
    <s v="Card"/>
  </r>
  <r>
    <s v="ORD00272"/>
    <s v="16-Aug-2025"/>
    <x v="3"/>
    <s v="Tamil Nadu"/>
    <s v="Priya"/>
    <s v="ABC Pvt Ltd"/>
    <x v="0"/>
    <s v="Keyboard"/>
    <n v="6"/>
    <n v="1500"/>
    <n v="5"/>
    <n v="8550"/>
    <n v="5757.28"/>
    <n v="2792.72"/>
    <s v="UPI"/>
  </r>
  <r>
    <s v="ORD00273"/>
    <s v="28-Aug-2025"/>
    <x v="0"/>
    <s v="Gujarat"/>
    <s v="Anita"/>
    <s v="XYZ Ltd"/>
    <x v="0"/>
    <s v="Laptop"/>
    <n v="5"/>
    <n v="55000"/>
    <n v="10"/>
    <n v="247500"/>
    <n v="217769.36"/>
    <n v="29730.639999999999"/>
    <s v="Net Banking"/>
  </r>
  <r>
    <s v="ORD00274"/>
    <s v="19-Jul-2025"/>
    <x v="1"/>
    <s v="Haryana"/>
    <s v="Kiran"/>
    <s v="Tech Solutions"/>
    <x v="1"/>
    <s v="Office Chair"/>
    <n v="6"/>
    <n v="6000"/>
    <n v="10"/>
    <n v="32400"/>
    <n v="28918.46"/>
    <n v="3481.54"/>
    <s v="UPI"/>
  </r>
  <r>
    <s v="ORD00275"/>
    <s v="17-Mar-2025"/>
    <x v="1"/>
    <s v="Haryana"/>
    <s v="Sneha"/>
    <s v="Global Mart"/>
    <x v="0"/>
    <s v="Keyboard"/>
    <n v="5"/>
    <n v="1500"/>
    <n v="15"/>
    <n v="6375"/>
    <n v="5344.38"/>
    <n v="1030.6199999999999"/>
    <s v="Net Banking"/>
  </r>
  <r>
    <s v="ORD00276"/>
    <s v="19-Jul-2025"/>
    <x v="3"/>
    <s v="Karnataka"/>
    <s v="Sneha"/>
    <s v="Tech Solutions"/>
    <x v="1"/>
    <s v="Desk"/>
    <n v="6"/>
    <n v="10000"/>
    <n v="5"/>
    <n v="57000"/>
    <n v="47069.93"/>
    <n v="9930.07"/>
    <s v="Card"/>
  </r>
  <r>
    <s v="ORD00277"/>
    <s v="17-Nov-2025"/>
    <x v="0"/>
    <s v="Gujarat"/>
    <s v="Sneha"/>
    <s v="Vision Corp"/>
    <x v="1"/>
    <s v="Office Chair"/>
    <n v="6"/>
    <n v="6000"/>
    <n v="15"/>
    <n v="30600"/>
    <n v="25622.38"/>
    <n v="4977.62"/>
    <s v="Net Banking"/>
  </r>
  <r>
    <s v="ORD00278"/>
    <s v="01-Dec-2025"/>
    <x v="0"/>
    <s v="Maharashtra"/>
    <s v="Priya"/>
    <s v="Vision Corp"/>
    <x v="1"/>
    <s v="Office Chair"/>
    <n v="7"/>
    <n v="6000"/>
    <n v="5"/>
    <n v="39900"/>
    <n v="33612.94"/>
    <n v="6287.06"/>
    <s v="Net Banking"/>
  </r>
  <r>
    <s v="ORD00279"/>
    <s v="22-Jan-2025"/>
    <x v="2"/>
    <s v="West Bengal"/>
    <s v="Rahul"/>
    <s v="Tech Solutions"/>
    <x v="2"/>
    <s v="Mouse"/>
    <n v="4"/>
    <n v="800"/>
    <n v="10"/>
    <n v="2880"/>
    <n v="2074.5500000000002"/>
    <n v="805.45"/>
    <s v="Card"/>
  </r>
  <r>
    <s v="ORD00280"/>
    <s v="17-Apr-2025"/>
    <x v="2"/>
    <s v="Odisha"/>
    <s v="Arjun"/>
    <s v="Vision Corp"/>
    <x v="2"/>
    <s v="USB Drive"/>
    <n v="6"/>
    <n v="900"/>
    <n v="10"/>
    <n v="4860"/>
    <n v="4361.1000000000004"/>
    <n v="498.9"/>
    <s v="Card"/>
  </r>
  <r>
    <s v="ORD00281"/>
    <s v="01-Oct-2025"/>
    <x v="1"/>
    <s v="Delhi"/>
    <s v="Rahul"/>
    <s v="XYZ Ltd"/>
    <x v="1"/>
    <s v="Desk"/>
    <n v="2"/>
    <n v="10000"/>
    <n v="15"/>
    <n v="17000"/>
    <n v="14441.91"/>
    <n v="2558.09"/>
    <s v="UPI"/>
  </r>
  <r>
    <s v="ORD00282"/>
    <s v="03-Sep-2025"/>
    <x v="0"/>
    <s v="Gujarat"/>
    <s v="Arjun"/>
    <s v="ABC Pvt Ltd"/>
    <x v="2"/>
    <s v="Mouse"/>
    <n v="2"/>
    <n v="800"/>
    <n v="0"/>
    <n v="1600"/>
    <n v="1198.54"/>
    <n v="401.46"/>
    <s v="Cash"/>
  </r>
  <r>
    <s v="ORD00283"/>
    <s v="29-Aug-2025"/>
    <x v="1"/>
    <s v="Haryana"/>
    <s v="Priya"/>
    <s v="Tech Solutions"/>
    <x v="2"/>
    <s v="USB Drive"/>
    <n v="1"/>
    <n v="900"/>
    <n v="15"/>
    <n v="765"/>
    <n v="520.58000000000004"/>
    <n v="244.42"/>
    <s v="UPI"/>
  </r>
  <r>
    <s v="ORD00284"/>
    <s v="24-Oct-2025"/>
    <x v="1"/>
    <s v="Haryana"/>
    <s v="Priya"/>
    <s v="Prime Stores"/>
    <x v="0"/>
    <s v="Keyboard"/>
    <n v="10"/>
    <n v="1500"/>
    <n v="0"/>
    <n v="15000"/>
    <n v="10592.31"/>
    <n v="4407.6899999999996"/>
    <s v="Net Banking"/>
  </r>
  <r>
    <s v="ORD00285"/>
    <s v="21-Jan-2025"/>
    <x v="2"/>
    <s v="West Bengal"/>
    <s v="Sneha"/>
    <s v="ABC Pvt Ltd"/>
    <x v="2"/>
    <s v="USB Drive"/>
    <n v="7"/>
    <n v="900"/>
    <n v="0"/>
    <n v="6300"/>
    <n v="5324.98"/>
    <n v="975.02"/>
    <s v="Cash"/>
  </r>
  <r>
    <s v="ORD00286"/>
    <s v="10-Dec-2025"/>
    <x v="0"/>
    <s v="Gujarat"/>
    <s v="Arjun"/>
    <s v="Global Mart"/>
    <x v="0"/>
    <s v="Laptop"/>
    <n v="10"/>
    <n v="55000"/>
    <n v="10"/>
    <n v="495000"/>
    <n v="399656.62"/>
    <n v="95343.38"/>
    <s v="UPI"/>
  </r>
  <r>
    <s v="ORD00287"/>
    <s v="28-Mar-2025"/>
    <x v="2"/>
    <s v="West Bengal"/>
    <s v="Priya"/>
    <s v="Prime Stores"/>
    <x v="1"/>
    <s v="Desk"/>
    <n v="2"/>
    <n v="10000"/>
    <n v="0"/>
    <n v="20000"/>
    <n v="16598.54"/>
    <n v="3401.46"/>
    <s v="UPI"/>
  </r>
  <r>
    <s v="ORD00288"/>
    <s v="15-Apr-2025"/>
    <x v="3"/>
    <s v="Tamil Nadu"/>
    <s v="Anita"/>
    <s v="Global Mart"/>
    <x v="1"/>
    <s v="Office Chair"/>
    <n v="5"/>
    <n v="6000"/>
    <n v="10"/>
    <n v="27000"/>
    <n v="18837.57"/>
    <n v="8162.43"/>
    <s v="Card"/>
  </r>
  <r>
    <s v="ORD00289"/>
    <s v="30-Dec-2025"/>
    <x v="0"/>
    <s v="Gujarat"/>
    <s v="Sneha"/>
    <s v="Global Mart"/>
    <x v="0"/>
    <s v="Laptop"/>
    <n v="2"/>
    <n v="55000"/>
    <n v="15"/>
    <n v="93500"/>
    <n v="61654.01"/>
    <n v="31845.99"/>
    <s v="Cash"/>
  </r>
  <r>
    <s v="ORD00290"/>
    <s v="08-May-2025"/>
    <x v="1"/>
    <s v="Punjab"/>
    <s v="Anita"/>
    <s v="Global Mart"/>
    <x v="0"/>
    <s v="Monitor"/>
    <n v="7"/>
    <n v="12000"/>
    <n v="0"/>
    <n v="84000"/>
    <n v="71934.789999999994"/>
    <n v="12065.21"/>
    <s v="UPI"/>
  </r>
  <r>
    <s v="ORD00291"/>
    <s v="29-Jun-2025"/>
    <x v="3"/>
    <s v="Karnataka"/>
    <s v="Priya"/>
    <s v="Vision Corp"/>
    <x v="1"/>
    <s v="Office Chair"/>
    <n v="2"/>
    <n v="6000"/>
    <n v="0"/>
    <n v="12000"/>
    <n v="10168.01"/>
    <n v="1831.99"/>
    <s v="Net Banking"/>
  </r>
  <r>
    <s v="ORD00292"/>
    <s v="27-Jun-2025"/>
    <x v="0"/>
    <s v="Gujarat"/>
    <s v="Kiran"/>
    <s v="Prime Stores"/>
    <x v="2"/>
    <s v="USB Drive"/>
    <n v="7"/>
    <n v="900"/>
    <n v="0"/>
    <n v="6300"/>
    <n v="4227.2"/>
    <n v="2072.8000000000002"/>
    <s v="Card"/>
  </r>
  <r>
    <s v="ORD00293"/>
    <s v="21-Sep-2025"/>
    <x v="2"/>
    <s v="Odisha"/>
    <s v="Sneha"/>
    <s v="Prime Stores"/>
    <x v="2"/>
    <s v="Headset"/>
    <n v="10"/>
    <n v="2500"/>
    <n v="0"/>
    <n v="25000"/>
    <n v="18461.53"/>
    <n v="6538.47"/>
    <s v="UPI"/>
  </r>
  <r>
    <s v="ORD00294"/>
    <s v="18-Apr-2025"/>
    <x v="2"/>
    <s v="Odisha"/>
    <s v="Anita"/>
    <s v="Tech Solutions"/>
    <x v="1"/>
    <s v="Office Chair"/>
    <n v="9"/>
    <n v="6000"/>
    <n v="0"/>
    <n v="54000"/>
    <n v="47752.45"/>
    <n v="6247.55"/>
    <s v="UPI"/>
  </r>
  <r>
    <s v="ORD00295"/>
    <s v="29-Dec-2025"/>
    <x v="2"/>
    <s v="West Bengal"/>
    <s v="Sneha"/>
    <s v="ABC Pvt Ltd"/>
    <x v="2"/>
    <s v="Headset"/>
    <n v="3"/>
    <n v="2500"/>
    <n v="10"/>
    <n v="6750"/>
    <n v="6064.47"/>
    <n v="685.53"/>
    <s v="Net Banking"/>
  </r>
  <r>
    <s v="ORD00296"/>
    <s v="31-Mar-2025"/>
    <x v="2"/>
    <s v="Odisha"/>
    <s v="Priya"/>
    <s v="Global Mart"/>
    <x v="0"/>
    <s v="Monitor"/>
    <n v="1"/>
    <n v="12000"/>
    <n v="10"/>
    <n v="10800"/>
    <n v="7095.68"/>
    <n v="3704.32"/>
    <s v="Net Banking"/>
  </r>
  <r>
    <s v="ORD00297"/>
    <s v="06-Oct-2025"/>
    <x v="2"/>
    <s v="West Bengal"/>
    <s v="Arjun"/>
    <s v="XYZ Ltd"/>
    <x v="2"/>
    <s v="Headset"/>
    <n v="5"/>
    <n v="2500"/>
    <n v="10"/>
    <n v="11250"/>
    <n v="9563.9599999999991"/>
    <n v="1686.04"/>
    <s v="Net Banking"/>
  </r>
  <r>
    <s v="ORD00298"/>
    <s v="26-Apr-2025"/>
    <x v="0"/>
    <s v="Gujarat"/>
    <s v="Sneha"/>
    <s v="XYZ Ltd"/>
    <x v="1"/>
    <s v="Desk"/>
    <n v="10"/>
    <n v="10000"/>
    <n v="15"/>
    <n v="85000"/>
    <n v="75888.3"/>
    <n v="9111.7000000000007"/>
    <s v="Net Banking"/>
  </r>
  <r>
    <s v="ORD00299"/>
    <s v="25-Mar-2025"/>
    <x v="3"/>
    <s v="Telangana"/>
    <s v="Priya"/>
    <s v="XYZ Ltd"/>
    <x v="0"/>
    <s v="Monitor"/>
    <n v="10"/>
    <n v="12000"/>
    <n v="10"/>
    <n v="108000"/>
    <n v="80290.81"/>
    <n v="27709.19"/>
    <s v="Net Banking"/>
  </r>
  <r>
    <s v="ORD00300"/>
    <s v="24-Sep-2025"/>
    <x v="0"/>
    <s v="Maharashtra"/>
    <s v="Rahul"/>
    <s v="ABC Pvt Ltd"/>
    <x v="0"/>
    <s v="Monitor"/>
    <n v="1"/>
    <n v="12000"/>
    <n v="15"/>
    <n v="10200"/>
    <n v="8761.7099999999991"/>
    <n v="1438.29"/>
    <s v="Cash"/>
  </r>
  <r>
    <s v="ORD00301"/>
    <s v="16-Nov-2025"/>
    <x v="3"/>
    <s v="Karnataka"/>
    <s v="Arjun"/>
    <s v="Tech Solutions"/>
    <x v="2"/>
    <s v="USB Drive"/>
    <n v="1"/>
    <n v="900"/>
    <n v="10"/>
    <n v="810"/>
    <n v="612.66999999999996"/>
    <n v="197.33"/>
    <s v="Cash"/>
  </r>
  <r>
    <s v="ORD00302"/>
    <s v="22-Feb-2025"/>
    <x v="3"/>
    <s v="Tamil Nadu"/>
    <s v="Sneha"/>
    <s v="XYZ Ltd"/>
    <x v="2"/>
    <s v="Headset"/>
    <n v="10"/>
    <n v="2500"/>
    <n v="5"/>
    <n v="23750"/>
    <n v="20608.98"/>
    <n v="3141.02"/>
    <s v="UPI"/>
  </r>
  <r>
    <s v="ORD00303"/>
    <s v="09-Aug-2025"/>
    <x v="2"/>
    <s v="Odisha"/>
    <s v="Kiran"/>
    <s v="Global Mart"/>
    <x v="0"/>
    <s v="Monitor"/>
    <n v="5"/>
    <n v="12000"/>
    <n v="0"/>
    <n v="60000"/>
    <n v="53507.59"/>
    <n v="6492.41"/>
    <s v="Net Banking"/>
  </r>
  <r>
    <s v="ORD00304"/>
    <s v="03-Aug-2025"/>
    <x v="2"/>
    <s v="Odisha"/>
    <s v="Sneha"/>
    <s v="Prime Stores"/>
    <x v="1"/>
    <s v="Desk"/>
    <n v="1"/>
    <n v="10000"/>
    <n v="15"/>
    <n v="8500"/>
    <n v="6862.11"/>
    <n v="1637.89"/>
    <s v="UPI"/>
  </r>
  <r>
    <s v="ORD00305"/>
    <s v="09-Jul-2025"/>
    <x v="2"/>
    <s v="West Bengal"/>
    <s v="Priya"/>
    <s v="Global Mart"/>
    <x v="1"/>
    <s v="Desk"/>
    <n v="5"/>
    <n v="10000"/>
    <n v="0"/>
    <n v="50000"/>
    <n v="36412.559999999998"/>
    <n v="13587.44"/>
    <s v="Card"/>
  </r>
  <r>
    <s v="ORD00306"/>
    <s v="10-Sep-2025"/>
    <x v="3"/>
    <s v="Telangana"/>
    <s v="Priya"/>
    <s v="ABC Pvt Ltd"/>
    <x v="1"/>
    <s v="Desk"/>
    <n v="6"/>
    <n v="10000"/>
    <n v="0"/>
    <n v="60000"/>
    <n v="39481.870000000003"/>
    <n v="20518.13"/>
    <s v="Cash"/>
  </r>
  <r>
    <s v="ORD00307"/>
    <s v="07-Dec-2025"/>
    <x v="0"/>
    <s v="Gujarat"/>
    <s v="Arjun"/>
    <s v="XYZ Ltd"/>
    <x v="2"/>
    <s v="USB Drive"/>
    <n v="2"/>
    <n v="900"/>
    <n v="10"/>
    <n v="1620"/>
    <n v="1400.81"/>
    <n v="219.19"/>
    <s v="Card"/>
  </r>
  <r>
    <s v="ORD00308"/>
    <s v="24-Jun-2025"/>
    <x v="0"/>
    <s v="Maharashtra"/>
    <s v="Arjun"/>
    <s v="Vision Corp"/>
    <x v="1"/>
    <s v="Office Chair"/>
    <n v="10"/>
    <n v="6000"/>
    <n v="10"/>
    <n v="54000"/>
    <n v="39498.879999999997"/>
    <n v="14501.12"/>
    <s v="Cash"/>
  </r>
  <r>
    <s v="ORD00309"/>
    <s v="28-Apr-2025"/>
    <x v="1"/>
    <s v="Haryana"/>
    <s v="Rahul"/>
    <s v="Vision Corp"/>
    <x v="0"/>
    <s v="Keyboard"/>
    <n v="2"/>
    <n v="1500"/>
    <n v="0"/>
    <n v="3000"/>
    <n v="2400.91"/>
    <n v="599.09"/>
    <s v="Cash"/>
  </r>
  <r>
    <s v="ORD00310"/>
    <s v="26-May-2025"/>
    <x v="0"/>
    <s v="Maharashtra"/>
    <s v="Arjun"/>
    <s v="Tech Solutions"/>
    <x v="1"/>
    <s v="Desk"/>
    <n v="9"/>
    <n v="10000"/>
    <n v="15"/>
    <n v="76500"/>
    <n v="66539.899999999994"/>
    <n v="9960.1"/>
    <s v="UPI"/>
  </r>
  <r>
    <s v="ORD00311"/>
    <s v="22-Apr-2025"/>
    <x v="0"/>
    <s v="Maharashtra"/>
    <s v="Arjun"/>
    <s v="Vision Corp"/>
    <x v="1"/>
    <s v="Desk"/>
    <n v="2"/>
    <n v="10000"/>
    <n v="10"/>
    <n v="18000"/>
    <n v="14912.48"/>
    <n v="3087.52"/>
    <s v="Cash"/>
  </r>
  <r>
    <s v="ORD00312"/>
    <s v="02-May-2025"/>
    <x v="3"/>
    <s v="Tamil Nadu"/>
    <s v="Rahul"/>
    <s v="Global Mart"/>
    <x v="2"/>
    <s v="Headset"/>
    <n v="3"/>
    <n v="2500"/>
    <n v="5"/>
    <n v="7125"/>
    <n v="5376.08"/>
    <n v="1748.92"/>
    <s v="Net Banking"/>
  </r>
  <r>
    <s v="ORD00313"/>
    <s v="28-Jun-2025"/>
    <x v="3"/>
    <s v="Tamil Nadu"/>
    <s v="Sneha"/>
    <s v="Tech Solutions"/>
    <x v="2"/>
    <s v="Mouse"/>
    <n v="8"/>
    <n v="800"/>
    <n v="5"/>
    <n v="6080"/>
    <n v="5152.6000000000004"/>
    <n v="927.4"/>
    <s v="Card"/>
  </r>
  <r>
    <s v="ORD00314"/>
    <s v="17-Jan-2025"/>
    <x v="0"/>
    <s v="Gujarat"/>
    <s v="Rahul"/>
    <s v="Prime Stores"/>
    <x v="2"/>
    <s v="Headset"/>
    <n v="2"/>
    <n v="2500"/>
    <n v="15"/>
    <n v="4250"/>
    <n v="3679.45"/>
    <n v="570.54999999999995"/>
    <s v="Card"/>
  </r>
  <r>
    <s v="ORD00315"/>
    <s v="07-May-2025"/>
    <x v="0"/>
    <s v="Gujarat"/>
    <s v="Rahul"/>
    <s v="ABC Pvt Ltd"/>
    <x v="0"/>
    <s v="Keyboard"/>
    <n v="3"/>
    <n v="1500"/>
    <n v="5"/>
    <n v="4275"/>
    <n v="3458.77"/>
    <n v="816.23"/>
    <s v="UPI"/>
  </r>
  <r>
    <s v="ORD00316"/>
    <s v="09-Apr-2025"/>
    <x v="0"/>
    <s v="Maharashtra"/>
    <s v="Anita"/>
    <s v="Prime Stores"/>
    <x v="1"/>
    <s v="Desk"/>
    <n v="7"/>
    <n v="10000"/>
    <n v="15"/>
    <n v="59500"/>
    <n v="45558.15"/>
    <n v="13941.85"/>
    <s v="Net Banking"/>
  </r>
  <r>
    <s v="ORD00317"/>
    <s v="23-Oct-2025"/>
    <x v="1"/>
    <s v="Delhi"/>
    <s v="Anita"/>
    <s v="Prime Stores"/>
    <x v="2"/>
    <s v="Mouse"/>
    <n v="4"/>
    <n v="800"/>
    <n v="5"/>
    <n v="3040"/>
    <n v="2724.62"/>
    <n v="315.38"/>
    <s v="Net Banking"/>
  </r>
  <r>
    <s v="ORD00318"/>
    <s v="23-May-2025"/>
    <x v="2"/>
    <s v="Odisha"/>
    <s v="Anita"/>
    <s v="ABC Pvt Ltd"/>
    <x v="2"/>
    <s v="Headset"/>
    <n v="1"/>
    <n v="2500"/>
    <n v="15"/>
    <n v="2125"/>
    <n v="1479.25"/>
    <n v="645.75"/>
    <s v="UPI"/>
  </r>
  <r>
    <s v="ORD00319"/>
    <s v="06-Nov-2025"/>
    <x v="1"/>
    <s v="Haryana"/>
    <s v="Rahul"/>
    <s v="XYZ Ltd"/>
    <x v="0"/>
    <s v="Keyboard"/>
    <n v="5"/>
    <n v="1500"/>
    <n v="5"/>
    <n v="7125"/>
    <n v="4846.8"/>
    <n v="2278.1999999999998"/>
    <s v="UPI"/>
  </r>
  <r>
    <s v="ORD00320"/>
    <s v="07-Dec-2025"/>
    <x v="1"/>
    <s v="Punjab"/>
    <s v="Anita"/>
    <s v="Vision Corp"/>
    <x v="2"/>
    <s v="USB Drive"/>
    <n v="7"/>
    <n v="900"/>
    <n v="5"/>
    <n v="5985"/>
    <n v="4267.18"/>
    <n v="1717.82"/>
    <s v="Net Banking"/>
  </r>
  <r>
    <s v="ORD00321"/>
    <s v="04-Jul-2025"/>
    <x v="2"/>
    <s v="Odisha"/>
    <s v="Priya"/>
    <s v="XYZ Ltd"/>
    <x v="1"/>
    <s v="Office Chair"/>
    <n v="8"/>
    <n v="6000"/>
    <n v="15"/>
    <n v="40800"/>
    <n v="26649.360000000001"/>
    <n v="14150.64"/>
    <s v="Net Banking"/>
  </r>
  <r>
    <s v="ORD00322"/>
    <s v="12-Jan-2025"/>
    <x v="3"/>
    <s v="Karnataka"/>
    <s v="Anita"/>
    <s v="Prime Stores"/>
    <x v="1"/>
    <s v="Desk"/>
    <n v="1"/>
    <n v="10000"/>
    <n v="15"/>
    <n v="8500"/>
    <n v="6271.95"/>
    <n v="2228.0500000000002"/>
    <s v="UPI"/>
  </r>
  <r>
    <s v="ORD00323"/>
    <s v="03-Jul-2025"/>
    <x v="1"/>
    <s v="Delhi"/>
    <s v="Priya"/>
    <s v="Tech Solutions"/>
    <x v="2"/>
    <s v="USB Drive"/>
    <n v="1"/>
    <n v="900"/>
    <n v="5"/>
    <n v="855"/>
    <n v="760.81"/>
    <n v="94.19"/>
    <s v="UPI"/>
  </r>
  <r>
    <s v="ORD00324"/>
    <s v="10-Mar-2025"/>
    <x v="0"/>
    <s v="Gujarat"/>
    <s v="Sneha"/>
    <s v="Tech Solutions"/>
    <x v="1"/>
    <s v="Office Chair"/>
    <n v="6"/>
    <n v="6000"/>
    <n v="10"/>
    <n v="32400"/>
    <n v="22407.7"/>
    <n v="9992.2999999999993"/>
    <s v="Net Banking"/>
  </r>
  <r>
    <s v="ORD00325"/>
    <s v="09-Jun-2025"/>
    <x v="3"/>
    <s v="Telangana"/>
    <s v="Priya"/>
    <s v="Prime Stores"/>
    <x v="2"/>
    <s v="Mouse"/>
    <n v="1"/>
    <n v="800"/>
    <n v="0"/>
    <n v="800"/>
    <n v="569.20000000000005"/>
    <n v="230.8"/>
    <s v="Net Banking"/>
  </r>
  <r>
    <s v="ORD00326"/>
    <s v="16-Feb-2025"/>
    <x v="2"/>
    <s v="West Bengal"/>
    <s v="Rahul"/>
    <s v="XYZ Ltd"/>
    <x v="0"/>
    <s v="Laptop"/>
    <n v="1"/>
    <n v="55000"/>
    <n v="5"/>
    <n v="52250"/>
    <n v="38928.83"/>
    <n v="13321.17"/>
    <s v="UPI"/>
  </r>
  <r>
    <s v="ORD00327"/>
    <s v="09-Aug-2025"/>
    <x v="2"/>
    <s v="West Bengal"/>
    <s v="Arjun"/>
    <s v="Prime Stores"/>
    <x v="1"/>
    <s v="Desk"/>
    <n v="2"/>
    <n v="10000"/>
    <n v="15"/>
    <n v="17000"/>
    <n v="11110.8"/>
    <n v="5889.2"/>
    <s v="Cash"/>
  </r>
  <r>
    <s v="ORD00328"/>
    <s v="19-Feb-2025"/>
    <x v="3"/>
    <s v="Karnataka"/>
    <s v="Rahul"/>
    <s v="Prime Stores"/>
    <x v="2"/>
    <s v="Mouse"/>
    <n v="1"/>
    <n v="800"/>
    <n v="10"/>
    <n v="720"/>
    <n v="496.77"/>
    <n v="223.23"/>
    <s v="Cash"/>
  </r>
  <r>
    <s v="ORD00329"/>
    <s v="21-Sep-2025"/>
    <x v="1"/>
    <s v="Haryana"/>
    <s v="Sneha"/>
    <s v="ABC Pvt Ltd"/>
    <x v="2"/>
    <s v="Headset"/>
    <n v="4"/>
    <n v="2500"/>
    <n v="15"/>
    <n v="8500"/>
    <n v="6506.15"/>
    <n v="1993.85"/>
    <s v="UPI"/>
  </r>
  <r>
    <s v="ORD00330"/>
    <s v="21-Mar-2025"/>
    <x v="3"/>
    <s v="Tamil Nadu"/>
    <s v="Kiran"/>
    <s v="Tech Solutions"/>
    <x v="0"/>
    <s v="Keyboard"/>
    <n v="7"/>
    <n v="1500"/>
    <n v="10"/>
    <n v="9450"/>
    <n v="8386.07"/>
    <n v="1063.93"/>
    <s v="Cash"/>
  </r>
  <r>
    <s v="ORD00331"/>
    <s v="09-Mar-2025"/>
    <x v="3"/>
    <s v="Karnataka"/>
    <s v="Kiran"/>
    <s v="Tech Solutions"/>
    <x v="1"/>
    <s v="Desk"/>
    <n v="4"/>
    <n v="10000"/>
    <n v="0"/>
    <n v="40000"/>
    <n v="31386.54"/>
    <n v="8613.4599999999991"/>
    <s v="Card"/>
  </r>
  <r>
    <s v="ORD00332"/>
    <s v="26-Aug-2025"/>
    <x v="3"/>
    <s v="Karnataka"/>
    <s v="Priya"/>
    <s v="ABC Pvt Ltd"/>
    <x v="2"/>
    <s v="USB Drive"/>
    <n v="2"/>
    <n v="900"/>
    <n v="10"/>
    <n v="1620"/>
    <n v="1069.1500000000001"/>
    <n v="550.85"/>
    <s v="UPI"/>
  </r>
  <r>
    <s v="ORD00333"/>
    <s v="23-May-2025"/>
    <x v="3"/>
    <s v="Karnataka"/>
    <s v="Anita"/>
    <s v="Vision Corp"/>
    <x v="2"/>
    <s v="Headset"/>
    <n v="7"/>
    <n v="2500"/>
    <n v="0"/>
    <n v="17500"/>
    <n v="14501.15"/>
    <n v="2998.85"/>
    <s v="Cash"/>
  </r>
  <r>
    <s v="ORD00334"/>
    <s v="17-Apr-2025"/>
    <x v="0"/>
    <s v="Gujarat"/>
    <s v="Arjun"/>
    <s v="Prime Stores"/>
    <x v="1"/>
    <s v="Office Chair"/>
    <n v="4"/>
    <n v="6000"/>
    <n v="5"/>
    <n v="22800"/>
    <n v="19128.810000000001"/>
    <n v="3671.19"/>
    <s v="Net Banking"/>
  </r>
  <r>
    <s v="ORD00335"/>
    <s v="18-Feb-2025"/>
    <x v="0"/>
    <s v="Maharashtra"/>
    <s v="Rahul"/>
    <s v="Vision Corp"/>
    <x v="2"/>
    <s v="Mouse"/>
    <n v="4"/>
    <n v="800"/>
    <n v="0"/>
    <n v="3200"/>
    <n v="2182.44"/>
    <n v="1017.56"/>
    <s v="Net Banking"/>
  </r>
  <r>
    <s v="ORD00336"/>
    <s v="10-Jun-2025"/>
    <x v="2"/>
    <s v="West Bengal"/>
    <s v="Sneha"/>
    <s v="Prime Stores"/>
    <x v="2"/>
    <s v="Headset"/>
    <n v="3"/>
    <n v="2500"/>
    <n v="15"/>
    <n v="6375"/>
    <n v="5533.06"/>
    <n v="841.94"/>
    <s v="Card"/>
  </r>
  <r>
    <s v="ORD00337"/>
    <s v="02-Nov-2025"/>
    <x v="2"/>
    <s v="West Bengal"/>
    <s v="Anita"/>
    <s v="Vision Corp"/>
    <x v="1"/>
    <s v="Desk"/>
    <n v="5"/>
    <n v="10000"/>
    <n v="5"/>
    <n v="47500"/>
    <n v="40031.480000000003"/>
    <n v="7468.52"/>
    <s v="Cash"/>
  </r>
  <r>
    <s v="ORD00338"/>
    <s v="08-Oct-2025"/>
    <x v="0"/>
    <s v="Gujarat"/>
    <s v="Rahul"/>
    <s v="ABC Pvt Ltd"/>
    <x v="0"/>
    <s v="Monitor"/>
    <n v="10"/>
    <n v="12000"/>
    <n v="10"/>
    <n v="108000"/>
    <n v="78116.990000000005"/>
    <n v="29883.01"/>
    <s v="Cash"/>
  </r>
  <r>
    <s v="ORD00339"/>
    <s v="10-Nov-2025"/>
    <x v="3"/>
    <s v="Karnataka"/>
    <s v="Sneha"/>
    <s v="Prime Stores"/>
    <x v="1"/>
    <s v="Office Chair"/>
    <n v="6"/>
    <n v="6000"/>
    <n v="15"/>
    <n v="30600"/>
    <n v="27009.7"/>
    <n v="3590.3"/>
    <s v="UPI"/>
  </r>
  <r>
    <s v="ORD00340"/>
    <s v="14-Jan-2025"/>
    <x v="2"/>
    <s v="Odisha"/>
    <s v="Kiran"/>
    <s v="Vision Corp"/>
    <x v="0"/>
    <s v="Monitor"/>
    <n v="9"/>
    <n v="12000"/>
    <n v="5"/>
    <n v="102600"/>
    <n v="76139.03"/>
    <n v="26460.97"/>
    <s v="Cash"/>
  </r>
  <r>
    <s v="ORD00341"/>
    <s v="08-Oct-2025"/>
    <x v="1"/>
    <s v="Delhi"/>
    <s v="Rahul"/>
    <s v="XYZ Ltd"/>
    <x v="1"/>
    <s v="Desk"/>
    <n v="2"/>
    <n v="10000"/>
    <n v="0"/>
    <n v="20000"/>
    <n v="15275.42"/>
    <n v="4724.58"/>
    <s v="UPI"/>
  </r>
  <r>
    <s v="ORD00342"/>
    <s v="06-Jul-2025"/>
    <x v="1"/>
    <s v="Haryana"/>
    <s v="Sneha"/>
    <s v="Vision Corp"/>
    <x v="0"/>
    <s v="Laptop"/>
    <n v="6"/>
    <n v="55000"/>
    <n v="15"/>
    <n v="280500"/>
    <n v="193494.89"/>
    <n v="87005.11"/>
    <s v="Cash"/>
  </r>
  <r>
    <s v="ORD00343"/>
    <s v="17-May-2025"/>
    <x v="2"/>
    <s v="West Bengal"/>
    <s v="Anita"/>
    <s v="ABC Pvt Ltd"/>
    <x v="0"/>
    <s v="Keyboard"/>
    <n v="1"/>
    <n v="1500"/>
    <n v="0"/>
    <n v="1500"/>
    <n v="1250.3499999999999"/>
    <n v="249.65"/>
    <s v="UPI"/>
  </r>
  <r>
    <s v="ORD00344"/>
    <s v="19-Jan-2025"/>
    <x v="1"/>
    <s v="Delhi"/>
    <s v="Sneha"/>
    <s v="Vision Corp"/>
    <x v="2"/>
    <s v="Mouse"/>
    <n v="6"/>
    <n v="800"/>
    <n v="10"/>
    <n v="4320"/>
    <n v="3557.21"/>
    <n v="762.79"/>
    <s v="Net Banking"/>
  </r>
  <r>
    <s v="ORD00345"/>
    <s v="13-Apr-2025"/>
    <x v="0"/>
    <s v="Gujarat"/>
    <s v="Arjun"/>
    <s v="XYZ Ltd"/>
    <x v="2"/>
    <s v="Headset"/>
    <n v="2"/>
    <n v="2500"/>
    <n v="0"/>
    <n v="5000"/>
    <n v="4233.38"/>
    <n v="766.62"/>
    <s v="Card"/>
  </r>
  <r>
    <s v="ORD00346"/>
    <s v="14-Aug-2025"/>
    <x v="1"/>
    <s v="Punjab"/>
    <s v="Rahul"/>
    <s v="Global Mart"/>
    <x v="1"/>
    <s v="Desk"/>
    <n v="4"/>
    <n v="10000"/>
    <n v="0"/>
    <n v="40000"/>
    <n v="30876.37"/>
    <n v="9123.6299999999992"/>
    <s v="UPI"/>
  </r>
  <r>
    <s v="ORD00347"/>
    <s v="11-Oct-2025"/>
    <x v="3"/>
    <s v="Karnataka"/>
    <s v="Sneha"/>
    <s v="Vision Corp"/>
    <x v="1"/>
    <s v="Desk"/>
    <n v="10"/>
    <n v="10000"/>
    <n v="15"/>
    <n v="85000"/>
    <n v="58659.21"/>
    <n v="26340.79"/>
    <s v="Net Banking"/>
  </r>
  <r>
    <s v="ORD00348"/>
    <s v="24-Aug-2025"/>
    <x v="3"/>
    <s v="Karnataka"/>
    <s v="Arjun"/>
    <s v="Prime Stores"/>
    <x v="2"/>
    <s v="Headset"/>
    <n v="6"/>
    <n v="2500"/>
    <n v="15"/>
    <n v="12750"/>
    <n v="9167.31"/>
    <n v="3582.69"/>
    <s v="UPI"/>
  </r>
  <r>
    <s v="ORD00349"/>
    <s v="21-May-2025"/>
    <x v="3"/>
    <s v="Karnataka"/>
    <s v="Sneha"/>
    <s v="ABC Pvt Ltd"/>
    <x v="0"/>
    <s v="Keyboard"/>
    <n v="8"/>
    <n v="1500"/>
    <n v="10"/>
    <n v="10800"/>
    <n v="9508.4699999999993"/>
    <n v="1291.53"/>
    <s v="Cash"/>
  </r>
  <r>
    <s v="ORD00350"/>
    <s v="09-Jan-2025"/>
    <x v="1"/>
    <s v="Punjab"/>
    <s v="Kiran"/>
    <s v="Tech Solutions"/>
    <x v="1"/>
    <s v="Office Chair"/>
    <n v="10"/>
    <n v="6000"/>
    <n v="10"/>
    <n v="54000"/>
    <n v="36845.230000000003"/>
    <n v="17154.77"/>
    <s v="UPI"/>
  </r>
  <r>
    <s v="ORD00351"/>
    <s v="01-Dec-2025"/>
    <x v="0"/>
    <s v="Maharashtra"/>
    <s v="Priya"/>
    <s v="Vision Corp"/>
    <x v="1"/>
    <s v="Office Chair"/>
    <n v="7"/>
    <n v="6000"/>
    <n v="15"/>
    <n v="35700"/>
    <n v="28847.86"/>
    <n v="6852.14"/>
    <s v="Cash"/>
  </r>
  <r>
    <s v="ORD00352"/>
    <s v="10-Aug-2025"/>
    <x v="0"/>
    <s v="Maharashtra"/>
    <s v="Anita"/>
    <s v="ABC Pvt Ltd"/>
    <x v="0"/>
    <s v="Keyboard"/>
    <n v="5"/>
    <n v="1500"/>
    <n v="15"/>
    <n v="6375"/>
    <n v="4302.88"/>
    <n v="2072.12"/>
    <s v="Net Banking"/>
  </r>
  <r>
    <s v="ORD00353"/>
    <s v="18-Dec-2025"/>
    <x v="3"/>
    <s v="Karnataka"/>
    <s v="Priya"/>
    <s v="ABC Pvt Ltd"/>
    <x v="0"/>
    <s v="Monitor"/>
    <n v="3"/>
    <n v="12000"/>
    <n v="0"/>
    <n v="36000"/>
    <n v="31703"/>
    <n v="4297"/>
    <s v="Cash"/>
  </r>
  <r>
    <s v="ORD00354"/>
    <s v="25-Nov-2025"/>
    <x v="0"/>
    <s v="Maharashtra"/>
    <s v="Arjun"/>
    <s v="Prime Stores"/>
    <x v="0"/>
    <s v="Monitor"/>
    <n v="3"/>
    <n v="12000"/>
    <n v="15"/>
    <n v="30600"/>
    <n v="22248.54"/>
    <n v="8351.4599999999991"/>
    <s v="Card"/>
  </r>
  <r>
    <s v="ORD00355"/>
    <s v="15-Dec-2025"/>
    <x v="2"/>
    <s v="Odisha"/>
    <s v="Priya"/>
    <s v="Prime Stores"/>
    <x v="0"/>
    <s v="Monitor"/>
    <n v="7"/>
    <n v="12000"/>
    <n v="15"/>
    <n v="71400"/>
    <n v="51845.36"/>
    <n v="19554.64"/>
    <s v="UPI"/>
  </r>
  <r>
    <s v="ORD00356"/>
    <s v="11-Sep-2025"/>
    <x v="1"/>
    <s v="Punjab"/>
    <s v="Priya"/>
    <s v="Global Mart"/>
    <x v="0"/>
    <s v="Keyboard"/>
    <n v="1"/>
    <n v="1500"/>
    <n v="0"/>
    <n v="1500"/>
    <n v="1236.73"/>
    <n v="263.27"/>
    <s v="Cash"/>
  </r>
  <r>
    <s v="ORD00357"/>
    <s v="24-Jun-2025"/>
    <x v="1"/>
    <s v="Haryana"/>
    <s v="Priya"/>
    <s v="Global Mart"/>
    <x v="1"/>
    <s v="Office Chair"/>
    <n v="4"/>
    <n v="6000"/>
    <n v="5"/>
    <n v="22800"/>
    <n v="18653.150000000001"/>
    <n v="4146.8500000000004"/>
    <s v="Cash"/>
  </r>
  <r>
    <s v="ORD00358"/>
    <s v="17-Mar-2025"/>
    <x v="1"/>
    <s v="Haryana"/>
    <s v="Rahul"/>
    <s v="Tech Solutions"/>
    <x v="1"/>
    <s v="Office Chair"/>
    <n v="1"/>
    <n v="6000"/>
    <n v="0"/>
    <n v="6000"/>
    <n v="4420.3599999999997"/>
    <n v="1579.64"/>
    <s v="Card"/>
  </r>
  <r>
    <s v="ORD00359"/>
    <s v="23-Jun-2025"/>
    <x v="0"/>
    <s v="Gujarat"/>
    <s v="Rahul"/>
    <s v="ABC Pvt Ltd"/>
    <x v="1"/>
    <s v="Office Chair"/>
    <n v="3"/>
    <n v="6000"/>
    <n v="5"/>
    <n v="17100"/>
    <n v="12241.12"/>
    <n v="4858.88"/>
    <s v="UPI"/>
  </r>
  <r>
    <s v="ORD00360"/>
    <s v="31-Oct-2025"/>
    <x v="2"/>
    <s v="West Bengal"/>
    <s v="Arjun"/>
    <s v="Prime Stores"/>
    <x v="2"/>
    <s v="USB Drive"/>
    <n v="2"/>
    <n v="900"/>
    <n v="15"/>
    <n v="1530"/>
    <n v="1205.44"/>
    <n v="324.56"/>
    <s v="UPI"/>
  </r>
  <r>
    <s v="ORD00361"/>
    <s v="01-Oct-2025"/>
    <x v="1"/>
    <s v="Delhi"/>
    <s v="Sneha"/>
    <s v="Vision Corp"/>
    <x v="0"/>
    <s v="Monitor"/>
    <n v="6"/>
    <n v="12000"/>
    <n v="5"/>
    <n v="68400"/>
    <n v="45046.91"/>
    <n v="23353.09"/>
    <s v="Cash"/>
  </r>
  <r>
    <s v="ORD00362"/>
    <s v="01-May-2025"/>
    <x v="2"/>
    <s v="Odisha"/>
    <s v="Kiran"/>
    <s v="Prime Stores"/>
    <x v="2"/>
    <s v="Mouse"/>
    <n v="3"/>
    <n v="800"/>
    <n v="0"/>
    <n v="2400"/>
    <n v="2066.59"/>
    <n v="333.41"/>
    <s v="Card"/>
  </r>
  <r>
    <s v="ORD00363"/>
    <s v="26-Jan-2025"/>
    <x v="1"/>
    <s v="Delhi"/>
    <s v="Priya"/>
    <s v="Global Mart"/>
    <x v="0"/>
    <s v="Laptop"/>
    <n v="10"/>
    <n v="55000"/>
    <n v="0"/>
    <n v="550000"/>
    <n v="436279.73"/>
    <n v="113720.27"/>
    <s v="Net Banking"/>
  </r>
  <r>
    <s v="ORD00364"/>
    <s v="29-Mar-2025"/>
    <x v="2"/>
    <s v="Odisha"/>
    <s v="Anita"/>
    <s v="Prime Stores"/>
    <x v="0"/>
    <s v="Laptop"/>
    <n v="7"/>
    <n v="55000"/>
    <n v="15"/>
    <n v="327250"/>
    <n v="218353"/>
    <n v="108897"/>
    <s v="Cash"/>
  </r>
  <r>
    <s v="ORD00365"/>
    <s v="02-Sep-2025"/>
    <x v="1"/>
    <s v="Punjab"/>
    <s v="Sneha"/>
    <s v="ABC Pvt Ltd"/>
    <x v="2"/>
    <s v="Mouse"/>
    <n v="4"/>
    <n v="800"/>
    <n v="5"/>
    <n v="3040"/>
    <n v="2539.8200000000002"/>
    <n v="500.18"/>
    <s v="Net Banking"/>
  </r>
  <r>
    <s v="ORD00366"/>
    <s v="15-Jul-2025"/>
    <x v="0"/>
    <s v="Maharashtra"/>
    <s v="Kiran"/>
    <s v="XYZ Ltd"/>
    <x v="1"/>
    <s v="Office Chair"/>
    <n v="7"/>
    <n v="6000"/>
    <n v="10"/>
    <n v="37800"/>
    <n v="25772.78"/>
    <n v="12027.22"/>
    <s v="Net Banking"/>
  </r>
  <r>
    <s v="ORD00367"/>
    <s v="02-Mar-2025"/>
    <x v="2"/>
    <s v="West Bengal"/>
    <s v="Priya"/>
    <s v="Vision Corp"/>
    <x v="1"/>
    <s v="Office Chair"/>
    <n v="2"/>
    <n v="6000"/>
    <n v="10"/>
    <n v="10800"/>
    <n v="8260.99"/>
    <n v="2539.0100000000002"/>
    <s v="Card"/>
  </r>
  <r>
    <s v="ORD00368"/>
    <s v="27-Jun-2025"/>
    <x v="0"/>
    <s v="Gujarat"/>
    <s v="Anita"/>
    <s v="ABC Pvt Ltd"/>
    <x v="2"/>
    <s v="USB Drive"/>
    <n v="4"/>
    <n v="900"/>
    <n v="15"/>
    <n v="3060"/>
    <n v="2595.37"/>
    <n v="464.63"/>
    <s v="Card"/>
  </r>
  <r>
    <s v="ORD00369"/>
    <s v="18-Nov-2025"/>
    <x v="2"/>
    <s v="West Bengal"/>
    <s v="Sneha"/>
    <s v="Vision Corp"/>
    <x v="0"/>
    <s v="Laptop"/>
    <n v="4"/>
    <n v="55000"/>
    <n v="0"/>
    <n v="220000"/>
    <n v="163301.09"/>
    <n v="56698.91"/>
    <s v="Net Banking"/>
  </r>
  <r>
    <s v="ORD00370"/>
    <s v="17-May-2025"/>
    <x v="3"/>
    <s v="Tamil Nadu"/>
    <s v="Priya"/>
    <s v="Tech Solutions"/>
    <x v="1"/>
    <s v="Desk"/>
    <n v="4"/>
    <n v="10000"/>
    <n v="15"/>
    <n v="34000"/>
    <n v="27416.98"/>
    <n v="6583.02"/>
    <s v="Card"/>
  </r>
  <r>
    <s v="ORD00371"/>
    <s v="28-Nov-2025"/>
    <x v="0"/>
    <s v="Maharashtra"/>
    <s v="Anita"/>
    <s v="Tech Solutions"/>
    <x v="0"/>
    <s v="Keyboard"/>
    <n v="8"/>
    <n v="1500"/>
    <n v="5"/>
    <n v="11400"/>
    <n v="9743.19"/>
    <n v="1656.81"/>
    <s v="Cash"/>
  </r>
  <r>
    <s v="ORD00372"/>
    <s v="09-May-2025"/>
    <x v="2"/>
    <s v="Odisha"/>
    <s v="Arjun"/>
    <s v="Prime Stores"/>
    <x v="1"/>
    <s v="Desk"/>
    <n v="2"/>
    <n v="10000"/>
    <n v="10"/>
    <n v="18000"/>
    <n v="16183.46"/>
    <n v="1816.54"/>
    <s v="Net Banking"/>
  </r>
  <r>
    <s v="ORD00373"/>
    <s v="26-Jun-2025"/>
    <x v="1"/>
    <s v="Punjab"/>
    <s v="Sneha"/>
    <s v="ABC Pvt Ltd"/>
    <x v="0"/>
    <s v="Monitor"/>
    <n v="7"/>
    <n v="12000"/>
    <n v="15"/>
    <n v="71400"/>
    <n v="53568.29"/>
    <n v="17831.71"/>
    <s v="Net Banking"/>
  </r>
  <r>
    <s v="ORD00374"/>
    <s v="23-Apr-2025"/>
    <x v="2"/>
    <s v="Odisha"/>
    <s v="Rahul"/>
    <s v="Tech Solutions"/>
    <x v="1"/>
    <s v="Office Chair"/>
    <n v="3"/>
    <n v="6000"/>
    <n v="5"/>
    <n v="17100"/>
    <n v="13803.91"/>
    <n v="3296.09"/>
    <s v="Net Banking"/>
  </r>
  <r>
    <s v="ORD00375"/>
    <s v="17-Feb-2025"/>
    <x v="1"/>
    <s v="Delhi"/>
    <s v="Sneha"/>
    <s v="Global Mart"/>
    <x v="2"/>
    <s v="Headset"/>
    <n v="2"/>
    <n v="2500"/>
    <n v="0"/>
    <n v="5000"/>
    <n v="3396.31"/>
    <n v="1603.69"/>
    <s v="Card"/>
  </r>
  <r>
    <s v="ORD00376"/>
    <s v="13-Feb-2025"/>
    <x v="0"/>
    <s v="Gujarat"/>
    <s v="Anita"/>
    <s v="Vision Corp"/>
    <x v="1"/>
    <s v="Office Chair"/>
    <n v="3"/>
    <n v="6000"/>
    <n v="5"/>
    <n v="17100"/>
    <n v="14619.81"/>
    <n v="2480.19"/>
    <s v="Net Banking"/>
  </r>
  <r>
    <s v="ORD00377"/>
    <s v="01-Apr-2025"/>
    <x v="2"/>
    <s v="West Bengal"/>
    <s v="Kiran"/>
    <s v="XYZ Ltd"/>
    <x v="1"/>
    <s v="Office Chair"/>
    <n v="7"/>
    <n v="6000"/>
    <n v="15"/>
    <n v="35700"/>
    <n v="26342.37"/>
    <n v="9357.6299999999992"/>
    <s v="Card"/>
  </r>
  <r>
    <s v="ORD00378"/>
    <s v="18-Dec-2025"/>
    <x v="3"/>
    <s v="Karnataka"/>
    <s v="Anita"/>
    <s v="XYZ Ltd"/>
    <x v="1"/>
    <s v="Desk"/>
    <n v="10"/>
    <n v="10000"/>
    <n v="10"/>
    <n v="90000"/>
    <n v="71244.509999999995"/>
    <n v="18755.490000000002"/>
    <s v="Card"/>
  </r>
  <r>
    <s v="ORD00379"/>
    <s v="05-Sep-2025"/>
    <x v="3"/>
    <s v="Telangana"/>
    <s v="Rahul"/>
    <s v="Vision Corp"/>
    <x v="1"/>
    <s v="Office Chair"/>
    <n v="2"/>
    <n v="6000"/>
    <n v="5"/>
    <n v="11400"/>
    <n v="8318.43"/>
    <n v="3081.57"/>
    <s v="Net Banking"/>
  </r>
  <r>
    <s v="ORD00380"/>
    <s v="15-Dec-2025"/>
    <x v="2"/>
    <s v="Odisha"/>
    <s v="Arjun"/>
    <s v="Global Mart"/>
    <x v="1"/>
    <s v="Office Chair"/>
    <n v="10"/>
    <n v="6000"/>
    <n v="15"/>
    <n v="51000"/>
    <n v="37198.949999999997"/>
    <n v="13801.05"/>
    <s v="Card"/>
  </r>
  <r>
    <s v="ORD00381"/>
    <s v="01-Apr-2025"/>
    <x v="3"/>
    <s v="Karnataka"/>
    <s v="Arjun"/>
    <s v="ABC Pvt Ltd"/>
    <x v="1"/>
    <s v="Office Chair"/>
    <n v="2"/>
    <n v="6000"/>
    <n v="5"/>
    <n v="11400"/>
    <n v="10148.77"/>
    <n v="1251.23"/>
    <s v="Card"/>
  </r>
  <r>
    <s v="ORD00382"/>
    <s v="18-Jan-2025"/>
    <x v="1"/>
    <s v="Punjab"/>
    <s v="Rahul"/>
    <s v="Vision Corp"/>
    <x v="2"/>
    <s v="Headset"/>
    <n v="5"/>
    <n v="2500"/>
    <n v="0"/>
    <n v="12500"/>
    <n v="9790.9"/>
    <n v="2709.1"/>
    <s v="Net Banking"/>
  </r>
  <r>
    <s v="ORD00383"/>
    <s v="25-Nov-2025"/>
    <x v="3"/>
    <s v="Tamil Nadu"/>
    <s v="Rahul"/>
    <s v="Tech Solutions"/>
    <x v="0"/>
    <s v="Monitor"/>
    <n v="1"/>
    <n v="12000"/>
    <n v="0"/>
    <n v="12000"/>
    <n v="8375.5400000000009"/>
    <n v="3624.46"/>
    <s v="Net Banking"/>
  </r>
  <r>
    <s v="ORD00384"/>
    <s v="11-Feb-2025"/>
    <x v="2"/>
    <s v="West Bengal"/>
    <s v="Kiran"/>
    <s v="XYZ Ltd"/>
    <x v="0"/>
    <s v="Keyboard"/>
    <n v="8"/>
    <n v="1500"/>
    <n v="0"/>
    <n v="12000"/>
    <n v="8062.3"/>
    <n v="3937.7"/>
    <s v="Net Banking"/>
  </r>
  <r>
    <s v="ORD00385"/>
    <s v="16-Jan-2025"/>
    <x v="3"/>
    <s v="Telangana"/>
    <s v="Anita"/>
    <s v="XYZ Ltd"/>
    <x v="2"/>
    <s v="Headset"/>
    <n v="1"/>
    <n v="2500"/>
    <n v="10"/>
    <n v="2250"/>
    <n v="1520.06"/>
    <n v="729.94"/>
    <s v="Cash"/>
  </r>
  <r>
    <s v="ORD00386"/>
    <s v="16-Jan-2025"/>
    <x v="3"/>
    <s v="Telangana"/>
    <s v="Anita"/>
    <s v="Prime Stores"/>
    <x v="0"/>
    <s v="Laptop"/>
    <n v="9"/>
    <n v="55000"/>
    <n v="0"/>
    <n v="495000"/>
    <n v="437846.98"/>
    <n v="57153.02"/>
    <s v="Net Banking"/>
  </r>
  <r>
    <s v="ORD00387"/>
    <s v="19-Dec-2025"/>
    <x v="3"/>
    <s v="Tamil Nadu"/>
    <s v="Sneha"/>
    <s v="XYZ Ltd"/>
    <x v="1"/>
    <s v="Office Chair"/>
    <n v="6"/>
    <n v="6000"/>
    <n v="0"/>
    <n v="36000"/>
    <n v="25985.11"/>
    <n v="10014.89"/>
    <s v="Cash"/>
  </r>
  <r>
    <s v="ORD00388"/>
    <s v="21-Dec-2025"/>
    <x v="2"/>
    <s v="Odisha"/>
    <s v="Rahul"/>
    <s v="Vision Corp"/>
    <x v="1"/>
    <s v="Desk"/>
    <n v="6"/>
    <n v="10000"/>
    <n v="10"/>
    <n v="54000"/>
    <n v="41087.730000000003"/>
    <n v="12912.27"/>
    <s v="Net Banking"/>
  </r>
  <r>
    <s v="ORD00389"/>
    <s v="08-May-2025"/>
    <x v="3"/>
    <s v="Karnataka"/>
    <s v="Arjun"/>
    <s v="ABC Pvt Ltd"/>
    <x v="0"/>
    <s v="Keyboard"/>
    <n v="7"/>
    <n v="1500"/>
    <n v="5"/>
    <n v="9975"/>
    <n v="7309.26"/>
    <n v="2665.74"/>
    <s v="UPI"/>
  </r>
  <r>
    <s v="ORD00390"/>
    <s v="09-Feb-2025"/>
    <x v="3"/>
    <s v="Telangana"/>
    <s v="Priya"/>
    <s v="ABC Pvt Ltd"/>
    <x v="1"/>
    <s v="Desk"/>
    <n v="2"/>
    <n v="10000"/>
    <n v="5"/>
    <n v="19000"/>
    <n v="14151.89"/>
    <n v="4848.1099999999997"/>
    <s v="Card"/>
  </r>
  <r>
    <s v="ORD00391"/>
    <s v="28-Mar-2025"/>
    <x v="1"/>
    <s v="Haryana"/>
    <s v="Priya"/>
    <s v="Tech Solutions"/>
    <x v="1"/>
    <s v="Office Chair"/>
    <n v="9"/>
    <n v="6000"/>
    <n v="5"/>
    <n v="51300"/>
    <n v="45320.160000000003"/>
    <n v="5979.84"/>
    <s v="UPI"/>
  </r>
  <r>
    <s v="ORD00392"/>
    <s v="29-Nov-2025"/>
    <x v="0"/>
    <s v="Gujarat"/>
    <s v="Anita"/>
    <s v="ABC Pvt Ltd"/>
    <x v="2"/>
    <s v="Mouse"/>
    <n v="6"/>
    <n v="800"/>
    <n v="5"/>
    <n v="4560"/>
    <n v="3895.37"/>
    <n v="664.63"/>
    <s v="Net Banking"/>
  </r>
  <r>
    <s v="ORD00393"/>
    <s v="05-Feb-2025"/>
    <x v="2"/>
    <s v="Odisha"/>
    <s v="Arjun"/>
    <s v="Tech Solutions"/>
    <x v="1"/>
    <s v="Office Chair"/>
    <n v="5"/>
    <n v="6000"/>
    <n v="0"/>
    <n v="30000"/>
    <n v="20496.7"/>
    <n v="9503.2999999999993"/>
    <s v="Net Banking"/>
  </r>
  <r>
    <s v="ORD00394"/>
    <s v="13-Jun-2025"/>
    <x v="1"/>
    <s v="Punjab"/>
    <s v="Anita"/>
    <s v="Vision Corp"/>
    <x v="0"/>
    <s v="Keyboard"/>
    <n v="7"/>
    <n v="1500"/>
    <n v="10"/>
    <n v="9450"/>
    <n v="6964.46"/>
    <n v="2485.54"/>
    <s v="UPI"/>
  </r>
  <r>
    <s v="ORD00395"/>
    <s v="08-Aug-2025"/>
    <x v="2"/>
    <s v="Odisha"/>
    <s v="Sneha"/>
    <s v="Prime Stores"/>
    <x v="0"/>
    <s v="Keyboard"/>
    <n v="2"/>
    <n v="1500"/>
    <n v="0"/>
    <n v="3000"/>
    <n v="2490.9499999999998"/>
    <n v="509.05"/>
    <s v="UPI"/>
  </r>
  <r>
    <s v="ORD00396"/>
    <s v="03-Jun-2025"/>
    <x v="1"/>
    <s v="Punjab"/>
    <s v="Arjun"/>
    <s v="Vision Corp"/>
    <x v="1"/>
    <s v="Desk"/>
    <n v="2"/>
    <n v="10000"/>
    <n v="0"/>
    <n v="20000"/>
    <n v="13326.33"/>
    <n v="6673.67"/>
    <s v="Card"/>
  </r>
  <r>
    <s v="ORD00397"/>
    <s v="24-Mar-2025"/>
    <x v="0"/>
    <s v="Gujarat"/>
    <s v="Rahul"/>
    <s v="XYZ Ltd"/>
    <x v="0"/>
    <s v="Laptop"/>
    <n v="8"/>
    <n v="55000"/>
    <n v="0"/>
    <n v="440000"/>
    <n v="357793.21"/>
    <n v="82206.789999999994"/>
    <s v="Net Banking"/>
  </r>
  <r>
    <s v="ORD00398"/>
    <s v="23-Jan-2025"/>
    <x v="1"/>
    <s v="Delhi"/>
    <s v="Priya"/>
    <s v="Global Mart"/>
    <x v="2"/>
    <s v="USB Drive"/>
    <n v="8"/>
    <n v="900"/>
    <n v="15"/>
    <n v="6120"/>
    <n v="4958.93"/>
    <n v="1161.07"/>
    <s v="Cash"/>
  </r>
  <r>
    <s v="ORD00399"/>
    <s v="04-Sep-2025"/>
    <x v="0"/>
    <s v="Gujarat"/>
    <s v="Kiran"/>
    <s v="ABC Pvt Ltd"/>
    <x v="1"/>
    <s v="Desk"/>
    <n v="4"/>
    <n v="10000"/>
    <n v="10"/>
    <n v="36000"/>
    <n v="30125.26"/>
    <n v="5874.74"/>
    <s v="UPI"/>
  </r>
  <r>
    <s v="ORD00400"/>
    <s v="14-Sep-2025"/>
    <x v="3"/>
    <s v="Karnataka"/>
    <s v="Priya"/>
    <s v="Tech Solutions"/>
    <x v="1"/>
    <s v="Office Chair"/>
    <n v="6"/>
    <n v="6000"/>
    <n v="0"/>
    <n v="36000"/>
    <n v="30616.98"/>
    <n v="5383.02"/>
    <s v="UPI"/>
  </r>
  <r>
    <s v="ORD00401"/>
    <s v="16-Nov-2025"/>
    <x v="0"/>
    <s v="Maharashtra"/>
    <s v="Arjun"/>
    <s v="Prime Stores"/>
    <x v="1"/>
    <s v="Desk"/>
    <n v="4"/>
    <n v="10000"/>
    <n v="0"/>
    <n v="40000"/>
    <n v="32356.639999999999"/>
    <n v="7643.36"/>
    <s v="Card"/>
  </r>
  <r>
    <s v="ORD00402"/>
    <s v="16-Oct-2025"/>
    <x v="3"/>
    <s v="Tamil Nadu"/>
    <s v="Anita"/>
    <s v="Prime Stores"/>
    <x v="0"/>
    <s v="Keyboard"/>
    <n v="7"/>
    <n v="1500"/>
    <n v="5"/>
    <n v="9975"/>
    <n v="6549.15"/>
    <n v="3425.85"/>
    <s v="UPI"/>
  </r>
  <r>
    <s v="ORD00403"/>
    <s v="26-Apr-2025"/>
    <x v="2"/>
    <s v="West Bengal"/>
    <s v="Anita"/>
    <s v="ABC Pvt Ltd"/>
    <x v="1"/>
    <s v="Desk"/>
    <n v="5"/>
    <n v="10000"/>
    <n v="5"/>
    <n v="47500"/>
    <n v="33893.879999999997"/>
    <n v="13606.12"/>
    <s v="Net Banking"/>
  </r>
  <r>
    <s v="ORD00404"/>
    <s v="19-Jan-2025"/>
    <x v="1"/>
    <s v="Punjab"/>
    <s v="Rahul"/>
    <s v="Tech Solutions"/>
    <x v="0"/>
    <s v="Keyboard"/>
    <n v="7"/>
    <n v="1500"/>
    <n v="15"/>
    <n v="8925"/>
    <n v="7297.52"/>
    <n v="1627.48"/>
    <s v="Cash"/>
  </r>
  <r>
    <s v="ORD00405"/>
    <s v="25-Aug-2025"/>
    <x v="1"/>
    <s v="Haryana"/>
    <s v="Priya"/>
    <s v="Global Mart"/>
    <x v="2"/>
    <s v="Mouse"/>
    <n v="6"/>
    <n v="800"/>
    <n v="0"/>
    <n v="4800"/>
    <n v="4197.03"/>
    <n v="602.97"/>
    <s v="Cash"/>
  </r>
  <r>
    <s v="ORD00406"/>
    <s v="04-Nov-2025"/>
    <x v="2"/>
    <s v="West Bengal"/>
    <s v="Priya"/>
    <s v="ABC Pvt Ltd"/>
    <x v="2"/>
    <s v="USB Drive"/>
    <n v="3"/>
    <n v="900"/>
    <n v="5"/>
    <n v="2565"/>
    <n v="1974.02"/>
    <n v="590.98"/>
    <s v="Cash"/>
  </r>
  <r>
    <s v="ORD00407"/>
    <s v="08-Mar-2025"/>
    <x v="0"/>
    <s v="Maharashtra"/>
    <s v="Sneha"/>
    <s v="Vision Corp"/>
    <x v="1"/>
    <s v="Office Chair"/>
    <n v="4"/>
    <n v="6000"/>
    <n v="15"/>
    <n v="20400"/>
    <n v="16714.259999999998"/>
    <n v="3685.74"/>
    <s v="Net Banking"/>
  </r>
  <r>
    <s v="ORD00408"/>
    <s v="28-Jan-2025"/>
    <x v="3"/>
    <s v="Telangana"/>
    <s v="Rahul"/>
    <s v="Tech Solutions"/>
    <x v="2"/>
    <s v="Headset"/>
    <n v="3"/>
    <n v="2500"/>
    <n v="10"/>
    <n v="6750"/>
    <n v="4700.84"/>
    <n v="2049.16"/>
    <s v="Cash"/>
  </r>
  <r>
    <s v="ORD00409"/>
    <s v="04-Aug-2025"/>
    <x v="0"/>
    <s v="Gujarat"/>
    <s v="Rahul"/>
    <s v="Global Mart"/>
    <x v="0"/>
    <s v="Laptop"/>
    <n v="8"/>
    <n v="55000"/>
    <n v="10"/>
    <n v="396000"/>
    <n v="294730.15000000002"/>
    <n v="101269.85"/>
    <s v="Net Banking"/>
  </r>
  <r>
    <s v="ORD00410"/>
    <s v="15-Mar-2025"/>
    <x v="0"/>
    <s v="Maharashtra"/>
    <s v="Priya"/>
    <s v="Tech Solutions"/>
    <x v="1"/>
    <s v="Office Chair"/>
    <n v="1"/>
    <n v="6000"/>
    <n v="5"/>
    <n v="5700"/>
    <n v="4986.75"/>
    <n v="713.25"/>
    <s v="Net Banking"/>
  </r>
  <r>
    <s v="ORD00411"/>
    <s v="14-Dec-2025"/>
    <x v="1"/>
    <s v="Haryana"/>
    <s v="Sneha"/>
    <s v="Prime Stores"/>
    <x v="0"/>
    <s v="Monitor"/>
    <n v="6"/>
    <n v="12000"/>
    <n v="5"/>
    <n v="68400"/>
    <n v="53408.42"/>
    <n v="14991.58"/>
    <s v="Card"/>
  </r>
  <r>
    <s v="ORD00412"/>
    <s v="02-Feb-2025"/>
    <x v="3"/>
    <s v="Telangana"/>
    <s v="Sneha"/>
    <s v="Vision Corp"/>
    <x v="0"/>
    <s v="Laptop"/>
    <n v="6"/>
    <n v="55000"/>
    <n v="0"/>
    <n v="330000"/>
    <n v="245705.42"/>
    <n v="84294.58"/>
    <s v="UPI"/>
  </r>
  <r>
    <s v="ORD00413"/>
    <s v="22-Mar-2025"/>
    <x v="2"/>
    <s v="West Bengal"/>
    <s v="Rahul"/>
    <s v="XYZ Ltd"/>
    <x v="0"/>
    <s v="Keyboard"/>
    <n v="1"/>
    <n v="1500"/>
    <n v="0"/>
    <n v="1500"/>
    <n v="1147.32"/>
    <n v="352.68"/>
    <s v="Card"/>
  </r>
  <r>
    <s v="ORD00414"/>
    <s v="21-Sep-2025"/>
    <x v="2"/>
    <s v="West Bengal"/>
    <s v="Sneha"/>
    <s v="Tech Solutions"/>
    <x v="0"/>
    <s v="Laptop"/>
    <n v="4"/>
    <n v="55000"/>
    <n v="15"/>
    <n v="187000"/>
    <n v="157189.53"/>
    <n v="29810.47"/>
    <s v="Cash"/>
  </r>
  <r>
    <s v="ORD00415"/>
    <s v="11-Jul-2025"/>
    <x v="2"/>
    <s v="Odisha"/>
    <s v="Priya"/>
    <s v="Tech Solutions"/>
    <x v="0"/>
    <s v="Laptop"/>
    <n v="4"/>
    <n v="55000"/>
    <n v="10"/>
    <n v="198000"/>
    <n v="158881.24"/>
    <n v="39118.76"/>
    <s v="Net Banking"/>
  </r>
  <r>
    <s v="ORD00416"/>
    <s v="21-Mar-2025"/>
    <x v="3"/>
    <s v="Telangana"/>
    <s v="Priya"/>
    <s v="Prime Stores"/>
    <x v="1"/>
    <s v="Office Chair"/>
    <n v="4"/>
    <n v="6000"/>
    <n v="15"/>
    <n v="20400"/>
    <n v="17448.509999999998"/>
    <n v="2951.49"/>
    <s v="UPI"/>
  </r>
  <r>
    <s v="ORD00417"/>
    <s v="13-Oct-2025"/>
    <x v="1"/>
    <s v="Punjab"/>
    <s v="Arjun"/>
    <s v="Vision Corp"/>
    <x v="0"/>
    <s v="Laptop"/>
    <n v="10"/>
    <n v="55000"/>
    <n v="5"/>
    <n v="522500"/>
    <n v="407407.58"/>
    <n v="115092.42"/>
    <s v="Net Banking"/>
  </r>
  <r>
    <s v="ORD00418"/>
    <s v="20-Dec-2025"/>
    <x v="2"/>
    <s v="Odisha"/>
    <s v="Kiran"/>
    <s v="ABC Pvt Ltd"/>
    <x v="2"/>
    <s v="Headset"/>
    <n v="2"/>
    <n v="2500"/>
    <n v="10"/>
    <n v="4500"/>
    <n v="3718.59"/>
    <n v="781.41"/>
    <s v="UPI"/>
  </r>
  <r>
    <s v="ORD00419"/>
    <s v="18-Jan-2025"/>
    <x v="0"/>
    <s v="Maharashtra"/>
    <s v="Sneha"/>
    <s v="XYZ Ltd"/>
    <x v="2"/>
    <s v="Headset"/>
    <n v="10"/>
    <n v="2500"/>
    <n v="0"/>
    <n v="25000"/>
    <n v="18747.39"/>
    <n v="6252.61"/>
    <s v="Net Banking"/>
  </r>
  <r>
    <s v="ORD00420"/>
    <s v="06-Apr-2025"/>
    <x v="1"/>
    <s v="Haryana"/>
    <s v="Priya"/>
    <s v="Vision Corp"/>
    <x v="1"/>
    <s v="Office Chair"/>
    <n v="7"/>
    <n v="6000"/>
    <n v="10"/>
    <n v="37800"/>
    <n v="26458.6"/>
    <n v="11341.4"/>
    <s v="Card"/>
  </r>
  <r>
    <s v="ORD00421"/>
    <s v="18-Apr-2025"/>
    <x v="3"/>
    <s v="Tamil Nadu"/>
    <s v="Arjun"/>
    <s v="Vision Corp"/>
    <x v="0"/>
    <s v="Keyboard"/>
    <n v="6"/>
    <n v="1500"/>
    <n v="15"/>
    <n v="7650"/>
    <n v="5471.91"/>
    <n v="2178.09"/>
    <s v="Card"/>
  </r>
  <r>
    <s v="ORD00422"/>
    <s v="09-Dec-2025"/>
    <x v="1"/>
    <s v="Delhi"/>
    <s v="Kiran"/>
    <s v="Vision Corp"/>
    <x v="2"/>
    <s v="Headset"/>
    <n v="3"/>
    <n v="2500"/>
    <n v="15"/>
    <n v="6375"/>
    <n v="5214.95"/>
    <n v="1160.05"/>
    <s v="Card"/>
  </r>
  <r>
    <s v="ORD00423"/>
    <s v="31-Mar-2025"/>
    <x v="2"/>
    <s v="Odisha"/>
    <s v="Anita"/>
    <s v="XYZ Ltd"/>
    <x v="1"/>
    <s v="Office Chair"/>
    <n v="4"/>
    <n v="6000"/>
    <n v="15"/>
    <n v="20400"/>
    <n v="13585.71"/>
    <n v="6814.29"/>
    <s v="Net Banking"/>
  </r>
  <r>
    <s v="ORD00424"/>
    <s v="24-Jul-2025"/>
    <x v="3"/>
    <s v="Tamil Nadu"/>
    <s v="Anita"/>
    <s v="Global Mart"/>
    <x v="0"/>
    <s v="Keyboard"/>
    <n v="3"/>
    <n v="1500"/>
    <n v="15"/>
    <n v="3825"/>
    <n v="2930.06"/>
    <n v="894.94"/>
    <s v="Net Banking"/>
  </r>
  <r>
    <s v="ORD00425"/>
    <s v="06-Jan-2025"/>
    <x v="0"/>
    <s v="Gujarat"/>
    <s v="Priya"/>
    <s v="ABC Pvt Ltd"/>
    <x v="1"/>
    <s v="Desk"/>
    <n v="9"/>
    <n v="10000"/>
    <n v="15"/>
    <n v="76500"/>
    <n v="56240.639999999999"/>
    <n v="20259.36"/>
    <s v="UPI"/>
  </r>
  <r>
    <s v="ORD00426"/>
    <s v="27-Apr-2025"/>
    <x v="2"/>
    <s v="Odisha"/>
    <s v="Kiran"/>
    <s v="ABC Pvt Ltd"/>
    <x v="0"/>
    <s v="Keyboard"/>
    <n v="6"/>
    <n v="1500"/>
    <n v="10"/>
    <n v="8100"/>
    <n v="5946.24"/>
    <n v="2153.7600000000002"/>
    <s v="Net Banking"/>
  </r>
  <r>
    <s v="ORD00427"/>
    <s v="05-Mar-2025"/>
    <x v="3"/>
    <s v="Karnataka"/>
    <s v="Priya"/>
    <s v="Vision Corp"/>
    <x v="2"/>
    <s v="USB Drive"/>
    <n v="4"/>
    <n v="900"/>
    <n v="0"/>
    <n v="3600"/>
    <n v="3140.77"/>
    <n v="459.23"/>
    <s v="UPI"/>
  </r>
  <r>
    <s v="ORD00428"/>
    <s v="01-Sep-2025"/>
    <x v="1"/>
    <s v="Punjab"/>
    <s v="Anita"/>
    <s v="Tech Solutions"/>
    <x v="2"/>
    <s v="Mouse"/>
    <n v="9"/>
    <n v="800"/>
    <n v="5"/>
    <n v="6840"/>
    <n v="5219.4399999999996"/>
    <n v="1620.56"/>
    <s v="Net Banking"/>
  </r>
  <r>
    <s v="ORD00429"/>
    <s v="04-Dec-2025"/>
    <x v="3"/>
    <s v="Karnataka"/>
    <s v="Rahul"/>
    <s v="Vision Corp"/>
    <x v="1"/>
    <s v="Desk"/>
    <n v="1"/>
    <n v="10000"/>
    <n v="10"/>
    <n v="9000"/>
    <n v="7533.05"/>
    <n v="1466.95"/>
    <s v="Net Banking"/>
  </r>
  <r>
    <s v="ORD00430"/>
    <s v="01-Sep-2025"/>
    <x v="1"/>
    <s v="Punjab"/>
    <s v="Arjun"/>
    <s v="ABC Pvt Ltd"/>
    <x v="1"/>
    <s v="Office Chair"/>
    <n v="7"/>
    <n v="6000"/>
    <n v="0"/>
    <n v="42000"/>
    <n v="30887.37"/>
    <n v="11112.63"/>
    <s v="Card"/>
  </r>
  <r>
    <s v="ORD00431"/>
    <s v="17-May-2025"/>
    <x v="3"/>
    <s v="Telangana"/>
    <s v="Anita"/>
    <s v="Prime Stores"/>
    <x v="0"/>
    <s v="Keyboard"/>
    <n v="3"/>
    <n v="1500"/>
    <n v="10"/>
    <n v="4050"/>
    <n v="3120.25"/>
    <n v="929.75"/>
    <s v="UPI"/>
  </r>
  <r>
    <s v="ORD00432"/>
    <s v="28-May-2025"/>
    <x v="1"/>
    <s v="Haryana"/>
    <s v="Arjun"/>
    <s v="Global Mart"/>
    <x v="2"/>
    <s v="Headset"/>
    <n v="4"/>
    <n v="2500"/>
    <n v="0"/>
    <n v="10000"/>
    <n v="7176.76"/>
    <n v="2823.24"/>
    <s v="UPI"/>
  </r>
  <r>
    <s v="ORD00433"/>
    <s v="05-Feb-2025"/>
    <x v="3"/>
    <s v="Telangana"/>
    <s v="Rahul"/>
    <s v="Vision Corp"/>
    <x v="2"/>
    <s v="USB Drive"/>
    <n v="5"/>
    <n v="900"/>
    <n v="0"/>
    <n v="4500"/>
    <n v="4003.31"/>
    <n v="496.69"/>
    <s v="Net Banking"/>
  </r>
  <r>
    <s v="ORD00434"/>
    <s v="17-Jun-2025"/>
    <x v="2"/>
    <s v="Odisha"/>
    <s v="Arjun"/>
    <s v="Prime Stores"/>
    <x v="0"/>
    <s v="Monitor"/>
    <n v="2"/>
    <n v="12000"/>
    <n v="10"/>
    <n v="21600"/>
    <n v="16100.13"/>
    <n v="5499.87"/>
    <s v="UPI"/>
  </r>
  <r>
    <s v="ORD00435"/>
    <s v="23-Apr-2025"/>
    <x v="0"/>
    <s v="Maharashtra"/>
    <s v="Arjun"/>
    <s v="ABC Pvt Ltd"/>
    <x v="0"/>
    <s v="Monitor"/>
    <n v="4"/>
    <n v="12000"/>
    <n v="5"/>
    <n v="45600"/>
    <n v="37429.06"/>
    <n v="8170.94"/>
    <s v="Net Banking"/>
  </r>
  <r>
    <s v="ORD00436"/>
    <s v="28-May-2025"/>
    <x v="1"/>
    <s v="Punjab"/>
    <s v="Arjun"/>
    <s v="XYZ Ltd"/>
    <x v="1"/>
    <s v="Desk"/>
    <n v="6"/>
    <n v="10000"/>
    <n v="15"/>
    <n v="51000"/>
    <n v="36719.339999999997"/>
    <n v="14280.66"/>
    <s v="UPI"/>
  </r>
  <r>
    <s v="ORD00437"/>
    <s v="05-Jun-2025"/>
    <x v="1"/>
    <s v="Delhi"/>
    <s v="Anita"/>
    <s v="Vision Corp"/>
    <x v="0"/>
    <s v="Laptop"/>
    <n v="6"/>
    <n v="55000"/>
    <n v="0"/>
    <n v="330000"/>
    <n v="275808.84999999998"/>
    <n v="54191.15"/>
    <s v="Card"/>
  </r>
  <r>
    <s v="ORD00438"/>
    <s v="21-Jun-2025"/>
    <x v="0"/>
    <s v="Maharashtra"/>
    <s v="Arjun"/>
    <s v="ABC Pvt Ltd"/>
    <x v="0"/>
    <s v="Monitor"/>
    <n v="2"/>
    <n v="12000"/>
    <n v="10"/>
    <n v="21600"/>
    <n v="16320.23"/>
    <n v="5279.77"/>
    <s v="Card"/>
  </r>
  <r>
    <s v="ORD00439"/>
    <s v="18-May-2025"/>
    <x v="3"/>
    <s v="Telangana"/>
    <s v="Sneha"/>
    <s v="Tech Solutions"/>
    <x v="1"/>
    <s v="Office Chair"/>
    <n v="6"/>
    <n v="6000"/>
    <n v="5"/>
    <n v="34200"/>
    <n v="22713.01"/>
    <n v="11486.99"/>
    <s v="Cash"/>
  </r>
  <r>
    <s v="ORD00440"/>
    <s v="25-Jan-2025"/>
    <x v="0"/>
    <s v="Gujarat"/>
    <s v="Anita"/>
    <s v="Vision Corp"/>
    <x v="1"/>
    <s v="Desk"/>
    <n v="5"/>
    <n v="10000"/>
    <n v="0"/>
    <n v="50000"/>
    <n v="41572.86"/>
    <n v="8427.14"/>
    <s v="Net Banking"/>
  </r>
  <r>
    <s v="ORD00441"/>
    <s v="29-Jan-2025"/>
    <x v="2"/>
    <s v="Odisha"/>
    <s v="Arjun"/>
    <s v="ABC Pvt Ltd"/>
    <x v="2"/>
    <s v="Mouse"/>
    <n v="3"/>
    <n v="800"/>
    <n v="10"/>
    <n v="2160"/>
    <n v="1469.94"/>
    <n v="690.06"/>
    <s v="Card"/>
  </r>
  <r>
    <s v="ORD00442"/>
    <s v="24-Dec-2025"/>
    <x v="2"/>
    <s v="Odisha"/>
    <s v="Sneha"/>
    <s v="Prime Stores"/>
    <x v="1"/>
    <s v="Desk"/>
    <n v="2"/>
    <n v="10000"/>
    <n v="15"/>
    <n v="17000"/>
    <n v="14242.98"/>
    <n v="2757.02"/>
    <s v="UPI"/>
  </r>
  <r>
    <s v="ORD00443"/>
    <s v="23-Sep-2025"/>
    <x v="0"/>
    <s v="Gujarat"/>
    <s v="Priya"/>
    <s v="Global Mart"/>
    <x v="1"/>
    <s v="Office Chair"/>
    <n v="9"/>
    <n v="6000"/>
    <n v="5"/>
    <n v="51300"/>
    <n v="38734.39"/>
    <n v="12565.61"/>
    <s v="Cash"/>
  </r>
  <r>
    <s v="ORD00444"/>
    <s v="27-Feb-2025"/>
    <x v="0"/>
    <s v="Maharashtra"/>
    <s v="Kiran"/>
    <s v="Tech Solutions"/>
    <x v="0"/>
    <s v="Keyboard"/>
    <n v="10"/>
    <n v="1500"/>
    <n v="10"/>
    <n v="13500"/>
    <n v="9749.58"/>
    <n v="3750.42"/>
    <s v="Card"/>
  </r>
  <r>
    <s v="ORD00445"/>
    <s v="28-Nov-2025"/>
    <x v="1"/>
    <s v="Delhi"/>
    <s v="Priya"/>
    <s v="Global Mart"/>
    <x v="1"/>
    <s v="Office Chair"/>
    <n v="3"/>
    <n v="6000"/>
    <n v="0"/>
    <n v="18000"/>
    <n v="12235.53"/>
    <n v="5764.47"/>
    <s v="UPI"/>
  </r>
  <r>
    <s v="ORD00446"/>
    <s v="13-Dec-2025"/>
    <x v="2"/>
    <s v="Odisha"/>
    <s v="Anita"/>
    <s v="Global Mart"/>
    <x v="1"/>
    <s v="Desk"/>
    <n v="3"/>
    <n v="10000"/>
    <n v="0"/>
    <n v="30000"/>
    <n v="21949.96"/>
    <n v="8050.04"/>
    <s v="Cash"/>
  </r>
  <r>
    <s v="ORD00447"/>
    <s v="15-Oct-2025"/>
    <x v="3"/>
    <s v="Karnataka"/>
    <s v="Priya"/>
    <s v="Global Mart"/>
    <x v="1"/>
    <s v="Desk"/>
    <n v="6"/>
    <n v="10000"/>
    <n v="5"/>
    <n v="57000"/>
    <n v="38938.53"/>
    <n v="18061.47"/>
    <s v="Net Banking"/>
  </r>
  <r>
    <s v="ORD00448"/>
    <s v="24-Aug-2025"/>
    <x v="1"/>
    <s v="Punjab"/>
    <s v="Arjun"/>
    <s v="Prime Stores"/>
    <x v="1"/>
    <s v="Office Chair"/>
    <n v="4"/>
    <n v="6000"/>
    <n v="0"/>
    <n v="24000"/>
    <n v="20229.5"/>
    <n v="3770.5"/>
    <s v="UPI"/>
  </r>
  <r>
    <s v="ORD00449"/>
    <s v="16-Mar-2025"/>
    <x v="0"/>
    <s v="Gujarat"/>
    <s v="Rahul"/>
    <s v="Tech Solutions"/>
    <x v="1"/>
    <s v="Desk"/>
    <n v="8"/>
    <n v="10000"/>
    <n v="10"/>
    <n v="72000"/>
    <n v="63905.49"/>
    <n v="8094.51"/>
    <s v="Net Banking"/>
  </r>
  <r>
    <s v="ORD00450"/>
    <s v="12-Sep-2025"/>
    <x v="2"/>
    <s v="Odisha"/>
    <s v="Sneha"/>
    <s v="Global Mart"/>
    <x v="2"/>
    <s v="USB Drive"/>
    <n v="1"/>
    <n v="900"/>
    <n v="10"/>
    <n v="810"/>
    <n v="528.1"/>
    <n v="281.89999999999998"/>
    <s v="UPI"/>
  </r>
  <r>
    <s v="ORD00451"/>
    <s v="09-Apr-2025"/>
    <x v="2"/>
    <s v="West Bengal"/>
    <s v="Kiran"/>
    <s v="Vision Corp"/>
    <x v="1"/>
    <s v="Desk"/>
    <n v="9"/>
    <n v="10000"/>
    <n v="10"/>
    <n v="81000"/>
    <n v="72778.97"/>
    <n v="8221.0300000000007"/>
    <s v="Cash"/>
  </r>
  <r>
    <s v="ORD00452"/>
    <s v="28-Aug-2025"/>
    <x v="0"/>
    <s v="Gujarat"/>
    <s v="Sneha"/>
    <s v="Prime Stores"/>
    <x v="0"/>
    <s v="Keyboard"/>
    <n v="2"/>
    <n v="1500"/>
    <n v="0"/>
    <n v="3000"/>
    <n v="2269.58"/>
    <n v="730.42"/>
    <s v="Cash"/>
  </r>
  <r>
    <s v="ORD00453"/>
    <s v="20-Nov-2025"/>
    <x v="3"/>
    <s v="Telangana"/>
    <s v="Sneha"/>
    <s v="XYZ Ltd"/>
    <x v="1"/>
    <s v="Office Chair"/>
    <n v="3"/>
    <n v="6000"/>
    <n v="15"/>
    <n v="15300"/>
    <n v="10825.73"/>
    <n v="4474.2700000000004"/>
    <s v="Net Banking"/>
  </r>
  <r>
    <s v="ORD00454"/>
    <s v="05-May-2025"/>
    <x v="3"/>
    <s v="Telangana"/>
    <s v="Rahul"/>
    <s v="ABC Pvt Ltd"/>
    <x v="1"/>
    <s v="Desk"/>
    <n v="3"/>
    <n v="10000"/>
    <n v="10"/>
    <n v="27000"/>
    <n v="17807.8"/>
    <n v="9192.2000000000007"/>
    <s v="Net Banking"/>
  </r>
  <r>
    <s v="ORD00455"/>
    <s v="15-Nov-2025"/>
    <x v="0"/>
    <s v="Maharashtra"/>
    <s v="Rahul"/>
    <s v="Global Mart"/>
    <x v="2"/>
    <s v="Mouse"/>
    <n v="1"/>
    <n v="800"/>
    <n v="5"/>
    <n v="760"/>
    <n v="553.54999999999995"/>
    <n v="206.45"/>
    <s v="Net Banking"/>
  </r>
  <r>
    <s v="ORD00456"/>
    <s v="15-Feb-2025"/>
    <x v="2"/>
    <s v="West Bengal"/>
    <s v="Rahul"/>
    <s v="XYZ Ltd"/>
    <x v="1"/>
    <s v="Office Chair"/>
    <n v="9"/>
    <n v="6000"/>
    <n v="0"/>
    <n v="54000"/>
    <n v="39178.47"/>
    <n v="14821.53"/>
    <s v="Cash"/>
  </r>
  <r>
    <s v="ORD00457"/>
    <s v="02-Jul-2025"/>
    <x v="1"/>
    <s v="Delhi"/>
    <s v="Kiran"/>
    <s v="XYZ Ltd"/>
    <x v="0"/>
    <s v="Keyboard"/>
    <n v="6"/>
    <n v="1500"/>
    <n v="15"/>
    <n v="7650"/>
    <n v="6536.16"/>
    <n v="1113.8399999999999"/>
    <s v="UPI"/>
  </r>
  <r>
    <s v="ORD00458"/>
    <s v="19-Aug-2025"/>
    <x v="0"/>
    <s v="Gujarat"/>
    <s v="Sneha"/>
    <s v="Tech Solutions"/>
    <x v="2"/>
    <s v="Mouse"/>
    <n v="6"/>
    <n v="800"/>
    <n v="5"/>
    <n v="4560"/>
    <n v="3502.87"/>
    <n v="1057.1300000000001"/>
    <s v="UPI"/>
  </r>
  <r>
    <s v="ORD00459"/>
    <s v="16-Jun-2025"/>
    <x v="1"/>
    <s v="Haryana"/>
    <s v="Sneha"/>
    <s v="XYZ Ltd"/>
    <x v="0"/>
    <s v="Keyboard"/>
    <n v="7"/>
    <n v="1500"/>
    <n v="0"/>
    <n v="10500"/>
    <n v="7315.39"/>
    <n v="3184.61"/>
    <s v="Card"/>
  </r>
  <r>
    <s v="ORD00460"/>
    <s v="08-Jul-2025"/>
    <x v="3"/>
    <s v="Karnataka"/>
    <s v="Rahul"/>
    <s v="Prime Stores"/>
    <x v="0"/>
    <s v="Laptop"/>
    <n v="4"/>
    <n v="55000"/>
    <n v="15"/>
    <n v="187000"/>
    <n v="131547.51"/>
    <n v="55452.49"/>
    <s v="UPI"/>
  </r>
  <r>
    <s v="ORD00461"/>
    <s v="23-Jun-2025"/>
    <x v="2"/>
    <s v="Odisha"/>
    <s v="Anita"/>
    <s v="Vision Corp"/>
    <x v="0"/>
    <s v="Laptop"/>
    <n v="4"/>
    <n v="55000"/>
    <n v="5"/>
    <n v="209000"/>
    <n v="158316.98000000001"/>
    <n v="50683.02"/>
    <s v="UPI"/>
  </r>
  <r>
    <s v="ORD00462"/>
    <s v="26-Oct-2025"/>
    <x v="3"/>
    <s v="Tamil Nadu"/>
    <s v="Rahul"/>
    <s v="Global Mart"/>
    <x v="1"/>
    <s v="Office Chair"/>
    <n v="3"/>
    <n v="6000"/>
    <n v="15"/>
    <n v="15300"/>
    <n v="12437.58"/>
    <n v="2862.42"/>
    <s v="Cash"/>
  </r>
  <r>
    <s v="ORD00463"/>
    <s v="30-Jul-2025"/>
    <x v="0"/>
    <s v="Gujarat"/>
    <s v="Rahul"/>
    <s v="Global Mart"/>
    <x v="0"/>
    <s v="Laptop"/>
    <n v="6"/>
    <n v="55000"/>
    <n v="10"/>
    <n v="297000"/>
    <n v="241767.16"/>
    <n v="55232.84"/>
    <s v="Card"/>
  </r>
  <r>
    <s v="ORD00464"/>
    <s v="09-Sep-2025"/>
    <x v="3"/>
    <s v="Tamil Nadu"/>
    <s v="Anita"/>
    <s v="XYZ Ltd"/>
    <x v="2"/>
    <s v="USB Drive"/>
    <n v="3"/>
    <n v="900"/>
    <n v="15"/>
    <n v="2295"/>
    <n v="1861.78"/>
    <n v="433.22"/>
    <s v="Card"/>
  </r>
  <r>
    <s v="ORD00465"/>
    <s v="11-Dec-2025"/>
    <x v="3"/>
    <s v="Karnataka"/>
    <s v="Anita"/>
    <s v="XYZ Ltd"/>
    <x v="2"/>
    <s v="Headset"/>
    <n v="4"/>
    <n v="2500"/>
    <n v="5"/>
    <n v="9500"/>
    <n v="8367.9699999999993"/>
    <n v="1132.03"/>
    <s v="Net Banking"/>
  </r>
  <r>
    <s v="ORD00466"/>
    <s v="04-Apr-2025"/>
    <x v="3"/>
    <s v="Tamil Nadu"/>
    <s v="Sneha"/>
    <s v="Prime Stores"/>
    <x v="1"/>
    <s v="Desk"/>
    <n v="10"/>
    <n v="10000"/>
    <n v="10"/>
    <n v="90000"/>
    <n v="62267.45"/>
    <n v="27732.55"/>
    <s v="Net Banking"/>
  </r>
  <r>
    <s v="ORD00467"/>
    <s v="19-Jan-2025"/>
    <x v="2"/>
    <s v="West Bengal"/>
    <s v="Priya"/>
    <s v="ABC Pvt Ltd"/>
    <x v="2"/>
    <s v="Mouse"/>
    <n v="1"/>
    <n v="800"/>
    <n v="5"/>
    <n v="760"/>
    <n v="589.63"/>
    <n v="170.37"/>
    <s v="Cash"/>
  </r>
  <r>
    <s v="ORD00468"/>
    <s v="10-Sep-2025"/>
    <x v="0"/>
    <s v="Maharashtra"/>
    <s v="Kiran"/>
    <s v="Tech Solutions"/>
    <x v="2"/>
    <s v="Mouse"/>
    <n v="3"/>
    <n v="800"/>
    <n v="10"/>
    <n v="2160"/>
    <n v="1558.05"/>
    <n v="601.95000000000005"/>
    <s v="Cash"/>
  </r>
  <r>
    <s v="ORD00469"/>
    <s v="28-Sep-2025"/>
    <x v="0"/>
    <s v="Maharashtra"/>
    <s v="Anita"/>
    <s v="ABC Pvt Ltd"/>
    <x v="0"/>
    <s v="Keyboard"/>
    <n v="10"/>
    <n v="1500"/>
    <n v="10"/>
    <n v="13500"/>
    <n v="10497.87"/>
    <n v="3002.13"/>
    <s v="Cash"/>
  </r>
  <r>
    <s v="ORD00470"/>
    <s v="08-Dec-2025"/>
    <x v="1"/>
    <s v="Haryana"/>
    <s v="Priya"/>
    <s v="Global Mart"/>
    <x v="0"/>
    <s v="Keyboard"/>
    <n v="8"/>
    <n v="1500"/>
    <n v="0"/>
    <n v="12000"/>
    <n v="9506.77"/>
    <n v="2493.23"/>
    <s v="Card"/>
  </r>
  <r>
    <s v="ORD00471"/>
    <s v="26-Oct-2025"/>
    <x v="0"/>
    <s v="Maharashtra"/>
    <s v="Kiran"/>
    <s v="XYZ Ltd"/>
    <x v="0"/>
    <s v="Laptop"/>
    <n v="7"/>
    <n v="55000"/>
    <n v="5"/>
    <n v="365750"/>
    <n v="315666.78999999998"/>
    <n v="50083.21"/>
    <s v="Cash"/>
  </r>
  <r>
    <s v="ORD00472"/>
    <s v="23-Feb-2025"/>
    <x v="3"/>
    <s v="Karnataka"/>
    <s v="Rahul"/>
    <s v="XYZ Ltd"/>
    <x v="0"/>
    <s v="Monitor"/>
    <n v="4"/>
    <n v="12000"/>
    <n v="10"/>
    <n v="43200"/>
    <n v="32132.09"/>
    <n v="11067.91"/>
    <s v="Cash"/>
  </r>
  <r>
    <s v="ORD00473"/>
    <s v="26-Dec-2025"/>
    <x v="0"/>
    <s v="Maharashtra"/>
    <s v="Anita"/>
    <s v="Tech Solutions"/>
    <x v="1"/>
    <s v="Desk"/>
    <n v="5"/>
    <n v="10000"/>
    <n v="0"/>
    <n v="50000"/>
    <n v="39497.51"/>
    <n v="10502.49"/>
    <s v="Card"/>
  </r>
  <r>
    <s v="ORD00474"/>
    <s v="20-May-2025"/>
    <x v="3"/>
    <s v="Karnataka"/>
    <s v="Rahul"/>
    <s v="Prime Stores"/>
    <x v="2"/>
    <s v="Mouse"/>
    <n v="10"/>
    <n v="800"/>
    <n v="10"/>
    <n v="7200"/>
    <n v="5268.63"/>
    <n v="1931.37"/>
    <s v="UPI"/>
  </r>
  <r>
    <s v="ORD00475"/>
    <s v="10-Nov-2025"/>
    <x v="1"/>
    <s v="Haryana"/>
    <s v="Arjun"/>
    <s v="Tech Solutions"/>
    <x v="1"/>
    <s v="Office Chair"/>
    <n v="5"/>
    <n v="6000"/>
    <n v="10"/>
    <n v="27000"/>
    <n v="19344.13"/>
    <n v="7655.87"/>
    <s v="Net Banking"/>
  </r>
  <r>
    <s v="ORD00476"/>
    <s v="21-Mar-2025"/>
    <x v="2"/>
    <s v="Odisha"/>
    <s v="Kiran"/>
    <s v="Prime Stores"/>
    <x v="0"/>
    <s v="Monitor"/>
    <n v="8"/>
    <n v="12000"/>
    <n v="5"/>
    <n v="91200"/>
    <n v="64623.43"/>
    <n v="26576.57"/>
    <s v="Cash"/>
  </r>
  <r>
    <s v="ORD00477"/>
    <s v="30-Jun-2025"/>
    <x v="2"/>
    <s v="Odisha"/>
    <s v="Rahul"/>
    <s v="Tech Solutions"/>
    <x v="0"/>
    <s v="Monitor"/>
    <n v="9"/>
    <n v="12000"/>
    <n v="5"/>
    <n v="102600"/>
    <n v="89713.51"/>
    <n v="12886.49"/>
    <s v="Net Banking"/>
  </r>
  <r>
    <s v="ORD00478"/>
    <s v="07-Sep-2025"/>
    <x v="3"/>
    <s v="Telangana"/>
    <s v="Priya"/>
    <s v="Vision Corp"/>
    <x v="1"/>
    <s v="Office Chair"/>
    <n v="4"/>
    <n v="6000"/>
    <n v="0"/>
    <n v="24000"/>
    <n v="21369.360000000001"/>
    <n v="2630.64"/>
    <s v="Card"/>
  </r>
  <r>
    <s v="ORD00479"/>
    <s v="25-Jan-2025"/>
    <x v="2"/>
    <s v="Odisha"/>
    <s v="Anita"/>
    <s v="Vision Corp"/>
    <x v="1"/>
    <s v="Desk"/>
    <n v="9"/>
    <n v="10000"/>
    <n v="5"/>
    <n v="85500"/>
    <n v="68846.86"/>
    <n v="16653.14"/>
    <s v="Card"/>
  </r>
  <r>
    <s v="ORD00480"/>
    <s v="15-Feb-2025"/>
    <x v="1"/>
    <s v="Delhi"/>
    <s v="Priya"/>
    <s v="Tech Solutions"/>
    <x v="1"/>
    <s v="Office Chair"/>
    <n v="7"/>
    <n v="6000"/>
    <n v="15"/>
    <n v="35700"/>
    <n v="26341.84"/>
    <n v="9358.16"/>
    <s v="Cash"/>
  </r>
  <r>
    <s v="ORD00481"/>
    <s v="12-Jul-2025"/>
    <x v="1"/>
    <s v="Punjab"/>
    <s v="Arjun"/>
    <s v="Prime Stores"/>
    <x v="2"/>
    <s v="Mouse"/>
    <n v="9"/>
    <n v="800"/>
    <n v="0"/>
    <n v="7200"/>
    <n v="5357.74"/>
    <n v="1842.26"/>
    <s v="Net Banking"/>
  </r>
  <r>
    <s v="ORD00482"/>
    <s v="18-Nov-2025"/>
    <x v="0"/>
    <s v="Maharashtra"/>
    <s v="Sneha"/>
    <s v="Tech Solutions"/>
    <x v="2"/>
    <s v="Headset"/>
    <n v="5"/>
    <n v="2500"/>
    <n v="5"/>
    <n v="11875"/>
    <n v="9550.83"/>
    <n v="2324.17"/>
    <s v="Card"/>
  </r>
  <r>
    <s v="ORD00483"/>
    <s v="14-Jan-2025"/>
    <x v="1"/>
    <s v="Delhi"/>
    <s v="Sneha"/>
    <s v="Prime Stores"/>
    <x v="1"/>
    <s v="Office Chair"/>
    <n v="3"/>
    <n v="6000"/>
    <n v="0"/>
    <n v="18000"/>
    <n v="13263.34"/>
    <n v="4736.66"/>
    <s v="Cash"/>
  </r>
  <r>
    <s v="ORD00484"/>
    <s v="01-Apr-2025"/>
    <x v="3"/>
    <s v="Tamil Nadu"/>
    <s v="Kiran"/>
    <s v="ABC Pvt Ltd"/>
    <x v="2"/>
    <s v="USB Drive"/>
    <n v="8"/>
    <n v="900"/>
    <n v="5"/>
    <n v="6840"/>
    <n v="5836.64"/>
    <n v="1003.36"/>
    <s v="Card"/>
  </r>
  <r>
    <s v="ORD00485"/>
    <s v="18-Apr-2025"/>
    <x v="2"/>
    <s v="West Bengal"/>
    <s v="Anita"/>
    <s v="Tech Solutions"/>
    <x v="1"/>
    <s v="Office Chair"/>
    <n v="5"/>
    <n v="6000"/>
    <n v="5"/>
    <n v="28500"/>
    <n v="22289.38"/>
    <n v="6210.62"/>
    <s v="Net Banking"/>
  </r>
  <r>
    <s v="ORD00486"/>
    <s v="25-Jan-2025"/>
    <x v="1"/>
    <s v="Haryana"/>
    <s v="Rahul"/>
    <s v="Prime Stores"/>
    <x v="0"/>
    <s v="Monitor"/>
    <n v="10"/>
    <n v="12000"/>
    <n v="15"/>
    <n v="102000"/>
    <n v="91494.44"/>
    <n v="10505.56"/>
    <s v="Card"/>
  </r>
  <r>
    <s v="ORD00487"/>
    <s v="28-Feb-2025"/>
    <x v="1"/>
    <s v="Haryana"/>
    <s v="Priya"/>
    <s v="Tech Solutions"/>
    <x v="1"/>
    <s v="Desk"/>
    <n v="1"/>
    <n v="10000"/>
    <n v="10"/>
    <n v="9000"/>
    <n v="6098.52"/>
    <n v="2901.48"/>
    <s v="Card"/>
  </r>
  <r>
    <s v="ORD00488"/>
    <s v="07-Mar-2025"/>
    <x v="0"/>
    <s v="Gujarat"/>
    <s v="Arjun"/>
    <s v="Tech Solutions"/>
    <x v="1"/>
    <s v="Desk"/>
    <n v="5"/>
    <n v="10000"/>
    <n v="5"/>
    <n v="47500"/>
    <n v="38310.480000000003"/>
    <n v="9189.52"/>
    <s v="Card"/>
  </r>
  <r>
    <s v="ORD00489"/>
    <s v="24-Jun-2025"/>
    <x v="2"/>
    <s v="Odisha"/>
    <s v="Sneha"/>
    <s v="Global Mart"/>
    <x v="0"/>
    <s v="Keyboard"/>
    <n v="6"/>
    <n v="1500"/>
    <n v="0"/>
    <n v="9000"/>
    <n v="8083.31"/>
    <n v="916.69"/>
    <s v="Card"/>
  </r>
  <r>
    <s v="ORD00490"/>
    <s v="04-Aug-2025"/>
    <x v="2"/>
    <s v="West Bengal"/>
    <s v="Rahul"/>
    <s v="Vision Corp"/>
    <x v="0"/>
    <s v="Laptop"/>
    <n v="4"/>
    <n v="55000"/>
    <n v="0"/>
    <n v="220000"/>
    <n v="196896.4"/>
    <n v="23103.599999999999"/>
    <s v="Cash"/>
  </r>
  <r>
    <s v="ORD00491"/>
    <s v="17-Apr-2025"/>
    <x v="3"/>
    <s v="Karnataka"/>
    <s v="Rahul"/>
    <s v="XYZ Ltd"/>
    <x v="2"/>
    <s v="Mouse"/>
    <n v="4"/>
    <n v="800"/>
    <n v="5"/>
    <n v="3040"/>
    <n v="1989.37"/>
    <n v="1050.6300000000001"/>
    <s v="Card"/>
  </r>
  <r>
    <s v="ORD00492"/>
    <s v="26-Feb-2025"/>
    <x v="3"/>
    <s v="Telangana"/>
    <s v="Kiran"/>
    <s v="ABC Pvt Ltd"/>
    <x v="1"/>
    <s v="Office Chair"/>
    <n v="7"/>
    <n v="6000"/>
    <n v="10"/>
    <n v="37800"/>
    <n v="25119.27"/>
    <n v="12680.73"/>
    <s v="Cash"/>
  </r>
  <r>
    <s v="ORD00493"/>
    <s v="20-Apr-2025"/>
    <x v="1"/>
    <s v="Punjab"/>
    <s v="Arjun"/>
    <s v="Global Mart"/>
    <x v="1"/>
    <s v="Desk"/>
    <n v="5"/>
    <n v="10000"/>
    <n v="10"/>
    <n v="45000"/>
    <n v="35079.57"/>
    <n v="9920.43"/>
    <s v="Card"/>
  </r>
  <r>
    <s v="ORD00494"/>
    <s v="15-Oct-2025"/>
    <x v="1"/>
    <s v="Punjab"/>
    <s v="Kiran"/>
    <s v="Prime Stores"/>
    <x v="1"/>
    <s v="Desk"/>
    <n v="7"/>
    <n v="10000"/>
    <n v="15"/>
    <n v="59500"/>
    <n v="45330.27"/>
    <n v="14169.73"/>
    <s v="Card"/>
  </r>
  <r>
    <s v="ORD00495"/>
    <s v="07-Jul-2025"/>
    <x v="3"/>
    <s v="Karnataka"/>
    <s v="Anita"/>
    <s v="ABC Pvt Ltd"/>
    <x v="2"/>
    <s v="USB Drive"/>
    <n v="5"/>
    <n v="900"/>
    <n v="10"/>
    <n v="4050"/>
    <n v="2849.51"/>
    <n v="1200.49"/>
    <s v="Cash"/>
  </r>
  <r>
    <s v="ORD00496"/>
    <s v="31-Dec-2025"/>
    <x v="1"/>
    <s v="Haryana"/>
    <s v="Arjun"/>
    <s v="Global Mart"/>
    <x v="0"/>
    <s v="Keyboard"/>
    <n v="8"/>
    <n v="1500"/>
    <n v="10"/>
    <n v="10800"/>
    <n v="7649.64"/>
    <n v="3150.36"/>
    <s v="Card"/>
  </r>
  <r>
    <s v="ORD00497"/>
    <s v="03-Jan-2025"/>
    <x v="1"/>
    <s v="Haryana"/>
    <s v="Arjun"/>
    <s v="XYZ Ltd"/>
    <x v="0"/>
    <s v="Laptop"/>
    <n v="10"/>
    <n v="55000"/>
    <n v="10"/>
    <n v="495000"/>
    <n v="395817.72"/>
    <n v="99182.28"/>
    <s v="Net Banking"/>
  </r>
  <r>
    <s v="ORD00498"/>
    <s v="02-Mar-2025"/>
    <x v="2"/>
    <s v="West Bengal"/>
    <s v="Priya"/>
    <s v="Prime Stores"/>
    <x v="0"/>
    <s v="Laptop"/>
    <n v="1"/>
    <n v="55000"/>
    <n v="10"/>
    <n v="49500"/>
    <n v="39326.07"/>
    <n v="10173.93"/>
    <s v="Net Banking"/>
  </r>
  <r>
    <s v="ORD00499"/>
    <s v="30-May-2025"/>
    <x v="3"/>
    <s v="Telangana"/>
    <s v="Arjun"/>
    <s v="Global Mart"/>
    <x v="0"/>
    <s v="Monitor"/>
    <n v="1"/>
    <n v="12000"/>
    <n v="5"/>
    <n v="11400"/>
    <n v="9641.4"/>
    <n v="1758.6"/>
    <s v="Card"/>
  </r>
  <r>
    <s v="ORD00500"/>
    <s v="05-Dec-2025"/>
    <x v="0"/>
    <s v="Maharashtra"/>
    <s v="Sneha"/>
    <s v="XYZ Ltd"/>
    <x v="0"/>
    <s v="Keyboard"/>
    <n v="8"/>
    <n v="1500"/>
    <n v="15"/>
    <n v="10200"/>
    <n v="6851.53"/>
    <n v="3348.47"/>
    <s v="Cash"/>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s v="ORD00001"/>
    <d v="2025-01-18T00:00:00"/>
    <x v="0"/>
    <x v="0"/>
    <x v="0"/>
    <s v="XYZ Ltd"/>
    <x v="0"/>
    <s v="Monitor"/>
    <n v="6"/>
    <n v="12000"/>
    <n v="15"/>
    <n v="61200"/>
    <n v="51357.36"/>
    <n v="9842.64"/>
    <s v="Cash"/>
    <d v="2025-01-18T00:00:00"/>
  </r>
  <r>
    <s v="ORD00002"/>
    <d v="2025-10-11T00:00:00"/>
    <x v="1"/>
    <x v="1"/>
    <x v="1"/>
    <s v="XYZ Ltd"/>
    <x v="1"/>
    <s v="Office Chair"/>
    <n v="10"/>
    <n v="6000"/>
    <n v="10"/>
    <n v="54000"/>
    <n v="48335.28"/>
    <n v="5664.72"/>
    <s v="Net Banking"/>
    <d v="2025-10-11T00:00:00"/>
  </r>
  <r>
    <s v="ORD00003"/>
    <d v="2025-09-24T00:00:00"/>
    <x v="2"/>
    <x v="2"/>
    <x v="2"/>
    <s v="XYZ Ltd"/>
    <x v="1"/>
    <s v="Office Chair"/>
    <n v="8"/>
    <n v="6000"/>
    <n v="10"/>
    <n v="43200"/>
    <n v="35469.01"/>
    <n v="7730.99"/>
    <s v="UPI"/>
    <d v="2025-09-24T00:00:00"/>
  </r>
  <r>
    <s v="ORD00004"/>
    <d v="2025-05-28T00:00:00"/>
    <x v="2"/>
    <x v="2"/>
    <x v="3"/>
    <s v="Global Mart"/>
    <x v="2"/>
    <s v="USB Drive"/>
    <n v="2"/>
    <n v="900"/>
    <n v="10"/>
    <n v="1620"/>
    <n v="1310.0899999999999"/>
    <n v="309.91000000000003"/>
    <s v="Net Banking"/>
    <d v="2025-05-28T00:00:00"/>
  </r>
  <r>
    <s v="ORD00005"/>
    <d v="2025-01-31T00:00:00"/>
    <x v="3"/>
    <x v="3"/>
    <x v="0"/>
    <s v="Prime Stores"/>
    <x v="0"/>
    <s v="Laptop"/>
    <n v="10"/>
    <n v="55000"/>
    <n v="5"/>
    <n v="522500"/>
    <n v="376706.09"/>
    <n v="145793.91"/>
    <s v="Card"/>
    <d v="2025-01-31T00:00:00"/>
  </r>
  <r>
    <s v="ORD00006"/>
    <d v="2025-11-05T00:00:00"/>
    <x v="1"/>
    <x v="1"/>
    <x v="0"/>
    <s v="Global Mart"/>
    <x v="0"/>
    <s v="Laptop"/>
    <n v="5"/>
    <n v="55000"/>
    <n v="10"/>
    <n v="247500"/>
    <n v="191855.13"/>
    <n v="55644.87"/>
    <s v="Card"/>
    <d v="2025-11-05T00:00:00"/>
  </r>
  <r>
    <s v="ORD00007"/>
    <d v="2025-02-11T00:00:00"/>
    <x v="1"/>
    <x v="1"/>
    <x v="0"/>
    <s v="Prime Stores"/>
    <x v="1"/>
    <s v="Office Chair"/>
    <n v="3"/>
    <n v="6000"/>
    <n v="15"/>
    <n v="15300"/>
    <n v="10692.52"/>
    <n v="4607.4799999999996"/>
    <s v="Card"/>
    <d v="2025-02-11T00:00:00"/>
  </r>
  <r>
    <s v="ORD00008"/>
    <d v="2025-03-28T00:00:00"/>
    <x v="3"/>
    <x v="3"/>
    <x v="4"/>
    <s v="Prime Stores"/>
    <x v="2"/>
    <s v="USB Drive"/>
    <n v="7"/>
    <n v="900"/>
    <n v="0"/>
    <n v="6300"/>
    <n v="4517.74"/>
    <n v="1782.26"/>
    <s v="Card"/>
    <d v="2025-03-28T00:00:00"/>
  </r>
  <r>
    <s v="ORD00009"/>
    <d v="2025-07-12T00:00:00"/>
    <x v="2"/>
    <x v="4"/>
    <x v="4"/>
    <s v="Vision Corp"/>
    <x v="0"/>
    <s v="Keyboard"/>
    <n v="7"/>
    <n v="1500"/>
    <n v="5"/>
    <n v="9975"/>
    <n v="8501.52"/>
    <n v="1473.48"/>
    <s v="UPI"/>
    <d v="2025-07-12T00:00:00"/>
  </r>
  <r>
    <s v="ORD00010"/>
    <d v="2025-12-18T00:00:00"/>
    <x v="2"/>
    <x v="2"/>
    <x v="0"/>
    <s v="Global Mart"/>
    <x v="0"/>
    <s v="Laptop"/>
    <n v="6"/>
    <n v="55000"/>
    <n v="0"/>
    <n v="330000"/>
    <n v="248968.11"/>
    <n v="81031.89"/>
    <s v="Cash"/>
    <d v="2025-12-18T00:00:00"/>
  </r>
  <r>
    <s v="ORD00011"/>
    <d v="2025-11-25T00:00:00"/>
    <x v="0"/>
    <x v="5"/>
    <x v="3"/>
    <s v="Vision Corp"/>
    <x v="2"/>
    <s v="Headset"/>
    <n v="7"/>
    <n v="2500"/>
    <n v="0"/>
    <n v="17500"/>
    <n v="15408.14"/>
    <n v="2091.86"/>
    <s v="Net Banking"/>
    <d v="2025-11-25T00:00:00"/>
  </r>
  <r>
    <s v="ORD00012"/>
    <d v="2025-02-20T00:00:00"/>
    <x v="1"/>
    <x v="6"/>
    <x v="5"/>
    <s v="XYZ Ltd"/>
    <x v="2"/>
    <s v="Headset"/>
    <n v="6"/>
    <n v="2500"/>
    <n v="5"/>
    <n v="14250"/>
    <n v="12303.51"/>
    <n v="1946.49"/>
    <s v="UPI"/>
    <d v="2025-02-20T00:00:00"/>
  </r>
  <r>
    <s v="ORD00013"/>
    <d v="2025-02-28T00:00:00"/>
    <x v="3"/>
    <x v="7"/>
    <x v="0"/>
    <s v="ABC Pvt Ltd"/>
    <x v="2"/>
    <s v="Headset"/>
    <n v="10"/>
    <n v="2500"/>
    <n v="5"/>
    <n v="23750"/>
    <n v="16851.3"/>
    <n v="6898.7"/>
    <s v="Card"/>
    <d v="2025-02-28T00:00:00"/>
  </r>
  <r>
    <s v="ORD00014"/>
    <d v="2025-01-30T00:00:00"/>
    <x v="2"/>
    <x v="4"/>
    <x v="5"/>
    <s v="XYZ Ltd"/>
    <x v="2"/>
    <s v="USB Drive"/>
    <n v="4"/>
    <n v="900"/>
    <n v="5"/>
    <n v="3420"/>
    <n v="2819.67"/>
    <n v="600.33000000000004"/>
    <s v="Cash"/>
    <d v="2025-01-30T00:00:00"/>
  </r>
  <r>
    <s v="ORD00015"/>
    <d v="2025-06-27T00:00:00"/>
    <x v="0"/>
    <x v="5"/>
    <x v="4"/>
    <s v="Tech Solutions"/>
    <x v="0"/>
    <s v="Monitor"/>
    <n v="5"/>
    <n v="12000"/>
    <n v="10"/>
    <n v="54000"/>
    <n v="39256.550000000003"/>
    <n v="14743.45"/>
    <s v="UPI"/>
    <d v="2025-06-27T00:00:00"/>
  </r>
  <r>
    <s v="ORD00016"/>
    <d v="2025-07-03T00:00:00"/>
    <x v="2"/>
    <x v="4"/>
    <x v="0"/>
    <s v="Prime Stores"/>
    <x v="0"/>
    <s v="Keyboard"/>
    <n v="10"/>
    <n v="1500"/>
    <n v="10"/>
    <n v="13500"/>
    <n v="9924.7800000000007"/>
    <n v="3575.22"/>
    <s v="UPI"/>
    <d v="2025-07-03T00:00:00"/>
  </r>
  <r>
    <s v="ORD00017"/>
    <d v="2025-10-30T00:00:00"/>
    <x v="3"/>
    <x v="3"/>
    <x v="4"/>
    <s v="Vision Corp"/>
    <x v="0"/>
    <s v="Monitor"/>
    <n v="7"/>
    <n v="12000"/>
    <n v="15"/>
    <n v="71400"/>
    <n v="46799.82"/>
    <n v="24600.18"/>
    <s v="Net Banking"/>
    <d v="2025-10-30T00:00:00"/>
  </r>
  <r>
    <s v="ORD00018"/>
    <d v="2025-05-17T00:00:00"/>
    <x v="2"/>
    <x v="2"/>
    <x v="5"/>
    <s v="XYZ Ltd"/>
    <x v="1"/>
    <s v="Office Chair"/>
    <n v="1"/>
    <n v="6000"/>
    <n v="15"/>
    <n v="5100"/>
    <n v="4307.7299999999996"/>
    <n v="792.27"/>
    <s v="UPI"/>
    <d v="2025-05-17T00:00:00"/>
  </r>
  <r>
    <s v="ORD00019"/>
    <d v="2025-07-19T00:00:00"/>
    <x v="3"/>
    <x v="7"/>
    <x v="3"/>
    <s v="ABC Pvt Ltd"/>
    <x v="1"/>
    <s v="Desk"/>
    <n v="6"/>
    <n v="10000"/>
    <n v="0"/>
    <n v="60000"/>
    <n v="39574.47"/>
    <n v="20425.53"/>
    <s v="UPI"/>
    <d v="2025-07-19T00:00:00"/>
  </r>
  <r>
    <s v="ORD00020"/>
    <d v="2025-08-02T00:00:00"/>
    <x v="1"/>
    <x v="6"/>
    <x v="3"/>
    <s v="Prime Stores"/>
    <x v="2"/>
    <s v="Mouse"/>
    <n v="10"/>
    <n v="800"/>
    <n v="5"/>
    <n v="7600"/>
    <n v="6327.31"/>
    <n v="1272.69"/>
    <s v="Cash"/>
    <d v="2025-08-02T00:00:00"/>
  </r>
  <r>
    <s v="ORD00021"/>
    <d v="2025-01-22T00:00:00"/>
    <x v="1"/>
    <x v="6"/>
    <x v="2"/>
    <s v="Global Mart"/>
    <x v="0"/>
    <s v="Monitor"/>
    <n v="9"/>
    <n v="12000"/>
    <n v="0"/>
    <n v="108000"/>
    <n v="77674.86"/>
    <n v="30325.14"/>
    <s v="Cash"/>
    <d v="2025-01-22T00:00:00"/>
  </r>
  <r>
    <s v="ORD00022"/>
    <d v="2025-12-17T00:00:00"/>
    <x v="3"/>
    <x v="3"/>
    <x v="4"/>
    <s v="Global Mart"/>
    <x v="2"/>
    <s v="Headset"/>
    <n v="5"/>
    <n v="2500"/>
    <n v="15"/>
    <n v="10625"/>
    <n v="8568.06"/>
    <n v="2056.94"/>
    <s v="Net Banking"/>
    <d v="2025-12-17T00:00:00"/>
  </r>
  <r>
    <s v="ORD00023"/>
    <d v="2025-02-06T00:00:00"/>
    <x v="0"/>
    <x v="0"/>
    <x v="2"/>
    <s v="Vision Corp"/>
    <x v="2"/>
    <s v="Headset"/>
    <n v="2"/>
    <n v="2500"/>
    <n v="5"/>
    <n v="4750"/>
    <n v="4210.2"/>
    <n v="539.79999999999995"/>
    <s v="Card"/>
    <d v="2025-02-06T00:00:00"/>
  </r>
  <r>
    <s v="ORD00024"/>
    <d v="2025-02-16T00:00:00"/>
    <x v="1"/>
    <x v="1"/>
    <x v="1"/>
    <s v="Prime Stores"/>
    <x v="0"/>
    <s v="Keyboard"/>
    <n v="5"/>
    <n v="1500"/>
    <n v="10"/>
    <n v="6750"/>
    <n v="4744.92"/>
    <n v="2005.08"/>
    <s v="Net Banking"/>
    <d v="2025-02-16T00:00:00"/>
  </r>
  <r>
    <s v="ORD00025"/>
    <d v="2025-07-07T00:00:00"/>
    <x v="0"/>
    <x v="5"/>
    <x v="0"/>
    <s v="Prime Stores"/>
    <x v="0"/>
    <s v="Monitor"/>
    <n v="3"/>
    <n v="12000"/>
    <n v="5"/>
    <n v="34200"/>
    <n v="22581.33"/>
    <n v="11618.67"/>
    <s v="Cash"/>
    <d v="2025-07-07T00:00:00"/>
  </r>
  <r>
    <s v="ORD00026"/>
    <d v="2025-10-09T00:00:00"/>
    <x v="2"/>
    <x v="4"/>
    <x v="0"/>
    <s v="ABC Pvt Ltd"/>
    <x v="1"/>
    <s v="Desk"/>
    <n v="3"/>
    <n v="10000"/>
    <n v="0"/>
    <n v="30000"/>
    <n v="22069.7"/>
    <n v="7930.3"/>
    <s v="Net Banking"/>
    <d v="2025-10-09T00:00:00"/>
  </r>
  <r>
    <s v="ORD00027"/>
    <d v="2025-06-30T00:00:00"/>
    <x v="3"/>
    <x v="7"/>
    <x v="4"/>
    <s v="Vision Corp"/>
    <x v="2"/>
    <s v="Headset"/>
    <n v="9"/>
    <n v="2500"/>
    <n v="15"/>
    <n v="19125"/>
    <n v="16167.01"/>
    <n v="2957.99"/>
    <s v="UPI"/>
    <d v="2025-06-30T00:00:00"/>
  </r>
  <r>
    <s v="ORD00028"/>
    <d v="2025-02-24T00:00:00"/>
    <x v="3"/>
    <x v="7"/>
    <x v="3"/>
    <s v="Tech Solutions"/>
    <x v="1"/>
    <s v="Office Chair"/>
    <n v="3"/>
    <n v="6000"/>
    <n v="5"/>
    <n v="17100"/>
    <n v="14521.38"/>
    <n v="2578.62"/>
    <s v="UPI"/>
    <d v="2025-02-24T00:00:00"/>
  </r>
  <r>
    <s v="ORD00029"/>
    <d v="2025-09-17T00:00:00"/>
    <x v="1"/>
    <x v="6"/>
    <x v="5"/>
    <s v="Tech Solutions"/>
    <x v="2"/>
    <s v="USB Drive"/>
    <n v="8"/>
    <n v="900"/>
    <n v="15"/>
    <n v="6120"/>
    <n v="5361"/>
    <n v="759"/>
    <s v="UPI"/>
    <d v="2025-09-17T00:00:00"/>
  </r>
  <r>
    <s v="ORD00030"/>
    <d v="2025-05-04T00:00:00"/>
    <x v="3"/>
    <x v="3"/>
    <x v="1"/>
    <s v="XYZ Ltd"/>
    <x v="2"/>
    <s v="Mouse"/>
    <n v="9"/>
    <n v="800"/>
    <n v="5"/>
    <n v="6840"/>
    <n v="5865.62"/>
    <n v="974.38"/>
    <s v="UPI"/>
    <d v="2025-05-04T00:00:00"/>
  </r>
  <r>
    <s v="ORD00031"/>
    <d v="2025-02-14T00:00:00"/>
    <x v="0"/>
    <x v="5"/>
    <x v="4"/>
    <s v="Prime Stores"/>
    <x v="2"/>
    <s v="Mouse"/>
    <n v="3"/>
    <n v="800"/>
    <n v="10"/>
    <n v="2160"/>
    <n v="1926.94"/>
    <n v="233.06"/>
    <s v="UPI"/>
    <d v="2025-02-14T00:00:00"/>
  </r>
  <r>
    <s v="ORD00032"/>
    <d v="2025-01-20T00:00:00"/>
    <x v="0"/>
    <x v="5"/>
    <x v="1"/>
    <s v="Global Mart"/>
    <x v="1"/>
    <s v="Desk"/>
    <n v="4"/>
    <n v="10000"/>
    <n v="15"/>
    <n v="34000"/>
    <n v="24174.68"/>
    <n v="9825.32"/>
    <s v="UPI"/>
    <d v="2025-01-20T00:00:00"/>
  </r>
  <r>
    <s v="ORD00033"/>
    <d v="2025-08-31T00:00:00"/>
    <x v="2"/>
    <x v="4"/>
    <x v="2"/>
    <s v="Prime Stores"/>
    <x v="1"/>
    <s v="Desk"/>
    <n v="5"/>
    <n v="10000"/>
    <n v="10"/>
    <n v="45000"/>
    <n v="40444.199999999997"/>
    <n v="4555.8"/>
    <s v="Net Banking"/>
    <d v="2025-08-31T00:00:00"/>
  </r>
  <r>
    <s v="ORD00034"/>
    <d v="2025-07-14T00:00:00"/>
    <x v="2"/>
    <x v="4"/>
    <x v="3"/>
    <s v="Vision Corp"/>
    <x v="1"/>
    <s v="Office Chair"/>
    <n v="1"/>
    <n v="6000"/>
    <n v="5"/>
    <n v="5700"/>
    <n v="4186.0200000000004"/>
    <n v="1513.98"/>
    <s v="Cash"/>
    <d v="2025-07-14T00:00:00"/>
  </r>
  <r>
    <s v="ORD00035"/>
    <d v="2025-08-27T00:00:00"/>
    <x v="1"/>
    <x v="1"/>
    <x v="2"/>
    <s v="XYZ Ltd"/>
    <x v="1"/>
    <s v="Desk"/>
    <n v="5"/>
    <n v="10000"/>
    <n v="15"/>
    <n v="42500"/>
    <n v="35700.97"/>
    <n v="6799.03"/>
    <s v="Cash"/>
    <d v="2025-08-27T00:00:00"/>
  </r>
  <r>
    <s v="ORD00036"/>
    <d v="2025-02-27T00:00:00"/>
    <x v="1"/>
    <x v="1"/>
    <x v="3"/>
    <s v="Vision Corp"/>
    <x v="0"/>
    <s v="Laptop"/>
    <n v="5"/>
    <n v="55000"/>
    <n v="0"/>
    <n v="275000"/>
    <n v="202237.09"/>
    <n v="72762.91"/>
    <s v="UPI"/>
    <d v="2025-02-27T00:00:00"/>
  </r>
  <r>
    <s v="ORD00037"/>
    <d v="2025-02-25T00:00:00"/>
    <x v="1"/>
    <x v="8"/>
    <x v="3"/>
    <s v="Vision Corp"/>
    <x v="1"/>
    <s v="Office Chair"/>
    <n v="8"/>
    <n v="6000"/>
    <n v="5"/>
    <n v="45600"/>
    <n v="38425.82"/>
    <n v="7174.18"/>
    <s v="Card"/>
    <d v="2025-02-25T00:00:00"/>
  </r>
  <r>
    <s v="ORD00038"/>
    <d v="2025-04-18T00:00:00"/>
    <x v="3"/>
    <x v="9"/>
    <x v="1"/>
    <s v="Tech Solutions"/>
    <x v="0"/>
    <s v="Keyboard"/>
    <n v="8"/>
    <n v="1500"/>
    <n v="0"/>
    <n v="12000"/>
    <n v="10604.15"/>
    <n v="1395.85"/>
    <s v="Net Banking"/>
    <d v="2025-04-18T00:00:00"/>
  </r>
  <r>
    <s v="ORD00039"/>
    <d v="2025-06-08T00:00:00"/>
    <x v="1"/>
    <x v="8"/>
    <x v="5"/>
    <s v="Global Mart"/>
    <x v="1"/>
    <s v="Office Chair"/>
    <n v="5"/>
    <n v="6000"/>
    <n v="5"/>
    <n v="28500"/>
    <n v="21367.91"/>
    <n v="7132.09"/>
    <s v="Cash"/>
    <d v="2025-06-08T00:00:00"/>
  </r>
  <r>
    <s v="ORD00040"/>
    <d v="2025-10-29T00:00:00"/>
    <x v="2"/>
    <x v="2"/>
    <x v="1"/>
    <s v="Prime Stores"/>
    <x v="2"/>
    <s v="Headset"/>
    <n v="9"/>
    <n v="2500"/>
    <n v="15"/>
    <n v="19125"/>
    <n v="13312.65"/>
    <n v="5812.35"/>
    <s v="Net Banking"/>
    <d v="2025-10-29T00:00:00"/>
  </r>
  <r>
    <s v="ORD00041"/>
    <d v="2025-12-31T00:00:00"/>
    <x v="0"/>
    <x v="0"/>
    <x v="3"/>
    <s v="Global Mart"/>
    <x v="2"/>
    <s v="Mouse"/>
    <n v="6"/>
    <n v="800"/>
    <n v="15"/>
    <n v="4080"/>
    <n v="3485.64"/>
    <n v="594.36"/>
    <s v="Cash"/>
    <d v="2025-12-31T00:00:00"/>
  </r>
  <r>
    <s v="ORD00042"/>
    <d v="2025-06-17T00:00:00"/>
    <x v="3"/>
    <x v="3"/>
    <x v="4"/>
    <s v="Prime Stores"/>
    <x v="0"/>
    <s v="Keyboard"/>
    <n v="4"/>
    <n v="1500"/>
    <n v="0"/>
    <n v="6000"/>
    <n v="4109.12"/>
    <n v="1890.88"/>
    <s v="Cash"/>
    <d v="2025-06-17T00:00:00"/>
  </r>
  <r>
    <s v="ORD00043"/>
    <d v="2025-04-11T00:00:00"/>
    <x v="2"/>
    <x v="2"/>
    <x v="0"/>
    <s v="XYZ Ltd"/>
    <x v="2"/>
    <s v="Headset"/>
    <n v="5"/>
    <n v="2500"/>
    <n v="0"/>
    <n v="12500"/>
    <n v="8506.19"/>
    <n v="3993.81"/>
    <s v="Net Banking"/>
    <d v="2025-04-11T00:00:00"/>
  </r>
  <r>
    <s v="ORD00044"/>
    <d v="2025-03-20T00:00:00"/>
    <x v="0"/>
    <x v="0"/>
    <x v="2"/>
    <s v="Tech Solutions"/>
    <x v="2"/>
    <s v="USB Drive"/>
    <n v="1"/>
    <n v="900"/>
    <n v="10"/>
    <n v="810"/>
    <n v="688.82"/>
    <n v="121.18"/>
    <s v="Cash"/>
    <d v="2025-03-20T00:00:00"/>
  </r>
  <r>
    <s v="ORD00045"/>
    <d v="2025-04-28T00:00:00"/>
    <x v="3"/>
    <x v="9"/>
    <x v="2"/>
    <s v="Prime Stores"/>
    <x v="0"/>
    <s v="Monitor"/>
    <n v="1"/>
    <n v="12000"/>
    <n v="0"/>
    <n v="12000"/>
    <n v="9250.42"/>
    <n v="2749.58"/>
    <s v="Card"/>
    <d v="2025-04-28T00:00:00"/>
  </r>
  <r>
    <s v="ORD00046"/>
    <d v="2025-11-16T00:00:00"/>
    <x v="3"/>
    <x v="3"/>
    <x v="0"/>
    <s v="ABC Pvt Ltd"/>
    <x v="1"/>
    <s v="Office Chair"/>
    <n v="5"/>
    <n v="6000"/>
    <n v="10"/>
    <n v="27000"/>
    <n v="24032.240000000002"/>
    <n v="2967.76"/>
    <s v="Cash"/>
    <d v="2025-11-16T00:00:00"/>
  </r>
  <r>
    <s v="ORD00047"/>
    <d v="2025-06-25T00:00:00"/>
    <x v="2"/>
    <x v="2"/>
    <x v="1"/>
    <s v="Prime Stores"/>
    <x v="1"/>
    <s v="Office Chair"/>
    <n v="10"/>
    <n v="6000"/>
    <n v="10"/>
    <n v="54000"/>
    <n v="38767.89"/>
    <n v="15232.11"/>
    <s v="Cash"/>
    <d v="2025-06-25T00:00:00"/>
  </r>
  <r>
    <s v="ORD00048"/>
    <d v="2025-11-01T00:00:00"/>
    <x v="2"/>
    <x v="4"/>
    <x v="1"/>
    <s v="XYZ Ltd"/>
    <x v="2"/>
    <s v="Mouse"/>
    <n v="1"/>
    <n v="800"/>
    <n v="0"/>
    <n v="800"/>
    <n v="605.70000000000005"/>
    <n v="194.3"/>
    <s v="Net Banking"/>
    <d v="2025-11-01T00:00:00"/>
  </r>
  <r>
    <s v="ORD00049"/>
    <d v="2025-02-04T00:00:00"/>
    <x v="0"/>
    <x v="0"/>
    <x v="4"/>
    <s v="XYZ Ltd"/>
    <x v="0"/>
    <s v="Laptop"/>
    <n v="3"/>
    <n v="55000"/>
    <n v="10"/>
    <n v="148500"/>
    <n v="132078.79"/>
    <n v="16421.21"/>
    <s v="Net Banking"/>
    <d v="2025-02-04T00:00:00"/>
  </r>
  <r>
    <s v="ORD00050"/>
    <d v="2025-04-19T00:00:00"/>
    <x v="2"/>
    <x v="2"/>
    <x v="3"/>
    <s v="XYZ Ltd"/>
    <x v="2"/>
    <s v="USB Drive"/>
    <n v="1"/>
    <n v="900"/>
    <n v="0"/>
    <n v="900"/>
    <n v="608.16999999999996"/>
    <n v="291.83"/>
    <s v="Cash"/>
    <d v="2025-04-19T00:00:00"/>
  </r>
  <r>
    <s v="ORD00051"/>
    <d v="2025-08-16T00:00:00"/>
    <x v="3"/>
    <x v="3"/>
    <x v="4"/>
    <s v="ABC Pvt Ltd"/>
    <x v="0"/>
    <s v="Laptop"/>
    <n v="9"/>
    <n v="55000"/>
    <n v="15"/>
    <n v="420750"/>
    <n v="289397.28999999998"/>
    <n v="131352.71"/>
    <s v="Card"/>
    <d v="2025-08-16T00:00:00"/>
  </r>
  <r>
    <s v="ORD00052"/>
    <d v="2025-03-17T00:00:00"/>
    <x v="0"/>
    <x v="5"/>
    <x v="3"/>
    <s v="ABC Pvt Ltd"/>
    <x v="0"/>
    <s v="Laptop"/>
    <n v="7"/>
    <n v="55000"/>
    <n v="15"/>
    <n v="327250"/>
    <n v="218378.3"/>
    <n v="108871.7"/>
    <s v="UPI"/>
    <d v="2025-03-17T00:00:00"/>
  </r>
  <r>
    <s v="ORD00053"/>
    <d v="2025-12-04T00:00:00"/>
    <x v="2"/>
    <x v="2"/>
    <x v="3"/>
    <s v="Prime Stores"/>
    <x v="2"/>
    <s v="USB Drive"/>
    <n v="8"/>
    <n v="900"/>
    <n v="10"/>
    <n v="6480"/>
    <n v="5538.92"/>
    <n v="941.08"/>
    <s v="Card"/>
    <d v="2025-12-04T00:00:00"/>
  </r>
  <r>
    <s v="ORD00054"/>
    <d v="2025-06-28T00:00:00"/>
    <x v="1"/>
    <x v="8"/>
    <x v="1"/>
    <s v="XYZ Ltd"/>
    <x v="1"/>
    <s v="Office Chair"/>
    <n v="3"/>
    <n v="6000"/>
    <n v="15"/>
    <n v="15300"/>
    <n v="10523.36"/>
    <n v="4776.6400000000003"/>
    <s v="Card"/>
    <d v="2025-06-28T00:00:00"/>
  </r>
  <r>
    <s v="ORD00055"/>
    <d v="2025-09-14T00:00:00"/>
    <x v="3"/>
    <x v="3"/>
    <x v="2"/>
    <s v="Tech Solutions"/>
    <x v="1"/>
    <s v="Office Chair"/>
    <n v="7"/>
    <n v="6000"/>
    <n v="0"/>
    <n v="42000"/>
    <n v="33942.370000000003"/>
    <n v="8057.63"/>
    <s v="Cash"/>
    <d v="2025-09-14T00:00:00"/>
  </r>
  <r>
    <s v="ORD00056"/>
    <d v="2025-02-17T00:00:00"/>
    <x v="0"/>
    <x v="5"/>
    <x v="3"/>
    <s v="XYZ Ltd"/>
    <x v="2"/>
    <s v="Mouse"/>
    <n v="1"/>
    <n v="800"/>
    <n v="10"/>
    <n v="720"/>
    <n v="549.79999999999995"/>
    <n v="170.2"/>
    <s v="Cash"/>
    <d v="2025-02-17T00:00:00"/>
  </r>
  <r>
    <s v="ORD00057"/>
    <d v="2025-12-26T00:00:00"/>
    <x v="3"/>
    <x v="3"/>
    <x v="2"/>
    <s v="Tech Solutions"/>
    <x v="0"/>
    <s v="Monitor"/>
    <n v="9"/>
    <n v="12000"/>
    <n v="15"/>
    <n v="91800"/>
    <n v="77716.160000000003"/>
    <n v="14083.84"/>
    <s v="UPI"/>
    <d v="2025-12-26T00:00:00"/>
  </r>
  <r>
    <s v="ORD00058"/>
    <d v="2025-09-28T00:00:00"/>
    <x v="2"/>
    <x v="4"/>
    <x v="0"/>
    <s v="Tech Solutions"/>
    <x v="1"/>
    <s v="Desk"/>
    <n v="7"/>
    <n v="10000"/>
    <n v="15"/>
    <n v="59500"/>
    <n v="49229.39"/>
    <n v="10270.61"/>
    <s v="UPI"/>
    <d v="2025-09-28T00:00:00"/>
  </r>
  <r>
    <s v="ORD00059"/>
    <d v="2025-03-12T00:00:00"/>
    <x v="3"/>
    <x v="9"/>
    <x v="3"/>
    <s v="Tech Solutions"/>
    <x v="0"/>
    <s v="Monitor"/>
    <n v="6"/>
    <n v="12000"/>
    <n v="10"/>
    <n v="64800"/>
    <n v="50305.39"/>
    <n v="14494.61"/>
    <s v="Cash"/>
    <d v="2025-03-12T00:00:00"/>
  </r>
  <r>
    <s v="ORD00060"/>
    <d v="2025-02-08T00:00:00"/>
    <x v="3"/>
    <x v="3"/>
    <x v="5"/>
    <s v="Global Mart"/>
    <x v="0"/>
    <s v="Keyboard"/>
    <n v="2"/>
    <n v="1500"/>
    <n v="5"/>
    <n v="2850"/>
    <n v="2053.9699999999998"/>
    <n v="796.03"/>
    <s v="UPI"/>
    <d v="2025-02-08T00:00:00"/>
  </r>
  <r>
    <s v="ORD00061"/>
    <d v="2025-07-23T00:00:00"/>
    <x v="1"/>
    <x v="8"/>
    <x v="4"/>
    <s v="Prime Stores"/>
    <x v="2"/>
    <s v="Mouse"/>
    <n v="8"/>
    <n v="800"/>
    <n v="0"/>
    <n v="6400"/>
    <n v="4756.0600000000004"/>
    <n v="1643.94"/>
    <s v="Card"/>
    <d v="2025-07-23T00:00:00"/>
  </r>
  <r>
    <s v="ORD00062"/>
    <d v="2025-06-19T00:00:00"/>
    <x v="1"/>
    <x v="1"/>
    <x v="2"/>
    <s v="XYZ Ltd"/>
    <x v="0"/>
    <s v="Keyboard"/>
    <n v="7"/>
    <n v="1500"/>
    <n v="5"/>
    <n v="9975"/>
    <n v="8372.33"/>
    <n v="1602.67"/>
    <s v="Cash"/>
    <d v="2025-06-19T00:00:00"/>
  </r>
  <r>
    <s v="ORD00063"/>
    <d v="2025-08-31T00:00:00"/>
    <x v="1"/>
    <x v="1"/>
    <x v="5"/>
    <s v="XYZ Ltd"/>
    <x v="0"/>
    <s v="Monitor"/>
    <n v="10"/>
    <n v="12000"/>
    <n v="10"/>
    <n v="108000"/>
    <n v="75108.070000000007"/>
    <n v="32891.93"/>
    <s v="Card"/>
    <d v="2025-08-31T00:00:00"/>
  </r>
  <r>
    <s v="ORD00064"/>
    <d v="2025-08-08T00:00:00"/>
    <x v="1"/>
    <x v="1"/>
    <x v="5"/>
    <s v="Vision Corp"/>
    <x v="0"/>
    <s v="Monitor"/>
    <n v="1"/>
    <n v="12000"/>
    <n v="10"/>
    <n v="10800"/>
    <n v="9552.3799999999992"/>
    <n v="1247.6199999999999"/>
    <s v="UPI"/>
    <d v="2025-08-08T00:00:00"/>
  </r>
  <r>
    <s v="ORD00065"/>
    <d v="2025-09-03T00:00:00"/>
    <x v="2"/>
    <x v="2"/>
    <x v="0"/>
    <s v="Global Mart"/>
    <x v="1"/>
    <s v="Desk"/>
    <n v="9"/>
    <n v="10000"/>
    <n v="10"/>
    <n v="81000"/>
    <n v="70590.929999999993"/>
    <n v="10409.07"/>
    <s v="Card"/>
    <d v="2025-09-03T00:00:00"/>
  </r>
  <r>
    <s v="ORD00066"/>
    <d v="2025-12-30T00:00:00"/>
    <x v="2"/>
    <x v="4"/>
    <x v="5"/>
    <s v="Vision Corp"/>
    <x v="1"/>
    <s v="Desk"/>
    <n v="4"/>
    <n v="10000"/>
    <n v="10"/>
    <n v="36000"/>
    <n v="29742.18"/>
    <n v="6257.82"/>
    <s v="Card"/>
    <d v="2025-12-30T00:00:00"/>
  </r>
  <r>
    <s v="ORD00067"/>
    <d v="2025-02-14T00:00:00"/>
    <x v="1"/>
    <x v="1"/>
    <x v="4"/>
    <s v="Tech Solutions"/>
    <x v="2"/>
    <s v="Mouse"/>
    <n v="2"/>
    <n v="800"/>
    <n v="0"/>
    <n v="1600"/>
    <n v="1342.38"/>
    <n v="257.62"/>
    <s v="Card"/>
    <d v="2025-02-14T00:00:00"/>
  </r>
  <r>
    <s v="ORD00068"/>
    <d v="2025-11-21T00:00:00"/>
    <x v="3"/>
    <x v="3"/>
    <x v="1"/>
    <s v="ABC Pvt Ltd"/>
    <x v="0"/>
    <s v="Laptop"/>
    <n v="8"/>
    <n v="55000"/>
    <n v="15"/>
    <n v="374000"/>
    <n v="273945.23"/>
    <n v="100054.77"/>
    <s v="Cash"/>
    <d v="2025-11-21T00:00:00"/>
  </r>
  <r>
    <s v="ORD00069"/>
    <d v="2025-10-18T00:00:00"/>
    <x v="3"/>
    <x v="3"/>
    <x v="4"/>
    <s v="Prime Stores"/>
    <x v="2"/>
    <s v="Headset"/>
    <n v="3"/>
    <n v="2500"/>
    <n v="5"/>
    <n v="7125"/>
    <n v="5216.0600000000004"/>
    <n v="1908.94"/>
    <s v="Cash"/>
    <d v="2025-10-18T00:00:00"/>
  </r>
  <r>
    <s v="ORD00070"/>
    <d v="2025-08-11T00:00:00"/>
    <x v="0"/>
    <x v="5"/>
    <x v="5"/>
    <s v="XYZ Ltd"/>
    <x v="2"/>
    <s v="Headset"/>
    <n v="7"/>
    <n v="2500"/>
    <n v="5"/>
    <n v="16625"/>
    <n v="13257.89"/>
    <n v="3367.11"/>
    <s v="UPI"/>
    <d v="2025-08-11T00:00:00"/>
  </r>
  <r>
    <s v="ORD00071"/>
    <d v="2025-05-02T00:00:00"/>
    <x v="2"/>
    <x v="2"/>
    <x v="3"/>
    <s v="Global Mart"/>
    <x v="2"/>
    <s v="Headset"/>
    <n v="6"/>
    <n v="2500"/>
    <n v="15"/>
    <n v="12750"/>
    <n v="10386.77"/>
    <n v="2363.23"/>
    <s v="Card"/>
    <d v="2025-05-02T00:00:00"/>
  </r>
  <r>
    <s v="ORD00072"/>
    <d v="2025-04-02T00:00:00"/>
    <x v="2"/>
    <x v="4"/>
    <x v="2"/>
    <s v="Vision Corp"/>
    <x v="1"/>
    <s v="Office Chair"/>
    <n v="7"/>
    <n v="6000"/>
    <n v="10"/>
    <n v="37800"/>
    <n v="28779.25"/>
    <n v="9020.75"/>
    <s v="Net Banking"/>
    <d v="2025-04-02T00:00:00"/>
  </r>
  <r>
    <s v="ORD00073"/>
    <d v="2025-05-24T00:00:00"/>
    <x v="3"/>
    <x v="3"/>
    <x v="3"/>
    <s v="XYZ Ltd"/>
    <x v="2"/>
    <s v="USB Drive"/>
    <n v="1"/>
    <n v="900"/>
    <n v="15"/>
    <n v="765"/>
    <n v="576.65"/>
    <n v="188.35"/>
    <s v="Card"/>
    <d v="2025-05-24T00:00:00"/>
  </r>
  <r>
    <s v="ORD00074"/>
    <d v="2025-05-19T00:00:00"/>
    <x v="1"/>
    <x v="1"/>
    <x v="3"/>
    <s v="Global Mart"/>
    <x v="2"/>
    <s v="Mouse"/>
    <n v="3"/>
    <n v="800"/>
    <n v="10"/>
    <n v="2160"/>
    <n v="1429.49"/>
    <n v="730.51"/>
    <s v="Card"/>
    <d v="2025-05-19T00:00:00"/>
  </r>
  <r>
    <s v="ORD00075"/>
    <d v="2025-08-14T00:00:00"/>
    <x v="0"/>
    <x v="5"/>
    <x v="3"/>
    <s v="XYZ Ltd"/>
    <x v="1"/>
    <s v="Office Chair"/>
    <n v="2"/>
    <n v="6000"/>
    <n v="5"/>
    <n v="11400"/>
    <n v="8722.81"/>
    <n v="2677.19"/>
    <s v="Card"/>
    <d v="2025-08-14T00:00:00"/>
  </r>
  <r>
    <s v="ORD00076"/>
    <d v="2025-03-15T00:00:00"/>
    <x v="3"/>
    <x v="9"/>
    <x v="3"/>
    <s v="Prime Stores"/>
    <x v="1"/>
    <s v="Office Chair"/>
    <n v="10"/>
    <n v="6000"/>
    <n v="10"/>
    <n v="54000"/>
    <n v="45835.76"/>
    <n v="8164.24"/>
    <s v="UPI"/>
    <d v="2025-03-15T00:00:00"/>
  </r>
  <r>
    <s v="ORD00077"/>
    <d v="2025-03-08T00:00:00"/>
    <x v="2"/>
    <x v="4"/>
    <x v="1"/>
    <s v="ABC Pvt Ltd"/>
    <x v="2"/>
    <s v="USB Drive"/>
    <n v="1"/>
    <n v="900"/>
    <n v="10"/>
    <n v="810"/>
    <n v="540.62"/>
    <n v="269.38"/>
    <s v="Cash"/>
    <d v="2025-03-08T00:00:00"/>
  </r>
  <r>
    <s v="ORD00078"/>
    <d v="2025-02-01T00:00:00"/>
    <x v="2"/>
    <x v="2"/>
    <x v="4"/>
    <s v="Prime Stores"/>
    <x v="2"/>
    <s v="Headset"/>
    <n v="4"/>
    <n v="2500"/>
    <n v="0"/>
    <n v="10000"/>
    <n v="7638.51"/>
    <n v="2361.4899999999998"/>
    <s v="Cash"/>
    <d v="2025-02-01T00:00:00"/>
  </r>
  <r>
    <s v="ORD00079"/>
    <d v="2025-09-10T00:00:00"/>
    <x v="0"/>
    <x v="5"/>
    <x v="0"/>
    <s v="Global Mart"/>
    <x v="2"/>
    <s v="Headset"/>
    <n v="8"/>
    <n v="2500"/>
    <n v="15"/>
    <n v="17000"/>
    <n v="13462.75"/>
    <n v="3537.25"/>
    <s v="Net Banking"/>
    <d v="2025-09-10T00:00:00"/>
  </r>
  <r>
    <s v="ORD00080"/>
    <d v="2025-10-14T00:00:00"/>
    <x v="2"/>
    <x v="4"/>
    <x v="0"/>
    <s v="XYZ Ltd"/>
    <x v="0"/>
    <s v="Keyboard"/>
    <n v="8"/>
    <n v="1500"/>
    <n v="10"/>
    <n v="10800"/>
    <n v="8889.4599999999991"/>
    <n v="1910.54"/>
    <s v="Card"/>
    <d v="2025-10-14T00:00:00"/>
  </r>
  <r>
    <s v="ORD00081"/>
    <d v="2025-04-13T00:00:00"/>
    <x v="2"/>
    <x v="2"/>
    <x v="0"/>
    <s v="Global Mart"/>
    <x v="2"/>
    <s v="Headset"/>
    <n v="3"/>
    <n v="2500"/>
    <n v="0"/>
    <n v="7500"/>
    <n v="6667.48"/>
    <n v="832.52"/>
    <s v="Cash"/>
    <d v="2025-04-13T00:00:00"/>
  </r>
  <r>
    <s v="ORD00082"/>
    <d v="2025-02-17T00:00:00"/>
    <x v="1"/>
    <x v="6"/>
    <x v="2"/>
    <s v="Global Mart"/>
    <x v="0"/>
    <s v="Monitor"/>
    <n v="8"/>
    <n v="12000"/>
    <n v="15"/>
    <n v="81600"/>
    <n v="59881.17"/>
    <n v="21718.83"/>
    <s v="Cash"/>
    <d v="2025-02-17T00:00:00"/>
  </r>
  <r>
    <s v="ORD00083"/>
    <d v="2025-04-11T00:00:00"/>
    <x v="0"/>
    <x v="5"/>
    <x v="3"/>
    <s v="ABC Pvt Ltd"/>
    <x v="2"/>
    <s v="Mouse"/>
    <n v="1"/>
    <n v="800"/>
    <n v="5"/>
    <n v="760"/>
    <n v="663.01"/>
    <n v="96.99"/>
    <s v="UPI"/>
    <d v="2025-04-11T00:00:00"/>
  </r>
  <r>
    <s v="ORD00084"/>
    <d v="2025-12-21T00:00:00"/>
    <x v="2"/>
    <x v="4"/>
    <x v="4"/>
    <s v="Vision Corp"/>
    <x v="1"/>
    <s v="Office Chair"/>
    <n v="9"/>
    <n v="6000"/>
    <n v="15"/>
    <n v="45900"/>
    <n v="40387.18"/>
    <n v="5512.82"/>
    <s v="UPI"/>
    <d v="2025-12-21T00:00:00"/>
  </r>
  <r>
    <s v="ORD00085"/>
    <d v="2025-05-19T00:00:00"/>
    <x v="1"/>
    <x v="1"/>
    <x v="2"/>
    <s v="Global Mart"/>
    <x v="2"/>
    <s v="USB Drive"/>
    <n v="6"/>
    <n v="900"/>
    <n v="0"/>
    <n v="5400"/>
    <n v="4172.84"/>
    <n v="1227.1600000000001"/>
    <s v="Net Banking"/>
    <d v="2025-05-19T00:00:00"/>
  </r>
  <r>
    <s v="ORD00086"/>
    <d v="2025-07-24T00:00:00"/>
    <x v="1"/>
    <x v="8"/>
    <x v="4"/>
    <s v="ABC Pvt Ltd"/>
    <x v="1"/>
    <s v="Office Chair"/>
    <n v="1"/>
    <n v="6000"/>
    <n v="0"/>
    <n v="6000"/>
    <n v="4256.58"/>
    <n v="1743.42"/>
    <s v="Cash"/>
    <d v="2025-07-24T00:00:00"/>
  </r>
  <r>
    <s v="ORD00087"/>
    <d v="2025-06-26T00:00:00"/>
    <x v="0"/>
    <x v="5"/>
    <x v="0"/>
    <s v="Tech Solutions"/>
    <x v="0"/>
    <s v="Laptop"/>
    <n v="1"/>
    <n v="55000"/>
    <n v="0"/>
    <n v="55000"/>
    <n v="42501.93"/>
    <n v="12498.07"/>
    <s v="Cash"/>
    <d v="2025-06-26T00:00:00"/>
  </r>
  <r>
    <s v="ORD00088"/>
    <d v="2025-03-01T00:00:00"/>
    <x v="3"/>
    <x v="3"/>
    <x v="5"/>
    <s v="ABC Pvt Ltd"/>
    <x v="0"/>
    <s v="Laptop"/>
    <n v="6"/>
    <n v="55000"/>
    <n v="10"/>
    <n v="297000"/>
    <n v="250056.82"/>
    <n v="46943.18"/>
    <s v="Card"/>
    <d v="2025-03-01T00:00:00"/>
  </r>
  <r>
    <s v="ORD00089"/>
    <d v="2025-10-28T00:00:00"/>
    <x v="3"/>
    <x v="9"/>
    <x v="2"/>
    <s v="ABC Pvt Ltd"/>
    <x v="1"/>
    <s v="Office Chair"/>
    <n v="2"/>
    <n v="6000"/>
    <n v="5"/>
    <n v="11400"/>
    <n v="9164.64"/>
    <n v="2235.36"/>
    <s v="Net Banking"/>
    <d v="2025-10-28T00:00:00"/>
  </r>
  <r>
    <s v="ORD00090"/>
    <d v="2025-10-27T00:00:00"/>
    <x v="3"/>
    <x v="7"/>
    <x v="1"/>
    <s v="Tech Solutions"/>
    <x v="2"/>
    <s v="USB Drive"/>
    <n v="2"/>
    <n v="900"/>
    <n v="15"/>
    <n v="1530"/>
    <n v="1306.69"/>
    <n v="223.31"/>
    <s v="Cash"/>
    <d v="2025-10-27T00:00:00"/>
  </r>
  <r>
    <s v="ORD00091"/>
    <d v="2025-11-14T00:00:00"/>
    <x v="2"/>
    <x v="4"/>
    <x v="0"/>
    <s v="Global Mart"/>
    <x v="0"/>
    <s v="Laptop"/>
    <n v="6"/>
    <n v="55000"/>
    <n v="15"/>
    <n v="280500"/>
    <n v="197421.42"/>
    <n v="83078.58"/>
    <s v="Cash"/>
    <d v="2025-11-14T00:00:00"/>
  </r>
  <r>
    <s v="ORD00092"/>
    <d v="2025-06-30T00:00:00"/>
    <x v="0"/>
    <x v="0"/>
    <x v="4"/>
    <s v="ABC Pvt Ltd"/>
    <x v="0"/>
    <s v="Laptop"/>
    <n v="8"/>
    <n v="55000"/>
    <n v="10"/>
    <n v="396000"/>
    <n v="270806.62"/>
    <n v="125193.38"/>
    <s v="UPI"/>
    <d v="2025-06-30T00:00:00"/>
  </r>
  <r>
    <s v="ORD00093"/>
    <d v="2025-12-10T00:00:00"/>
    <x v="3"/>
    <x v="7"/>
    <x v="1"/>
    <s v="Tech Solutions"/>
    <x v="2"/>
    <s v="Headset"/>
    <n v="3"/>
    <n v="2500"/>
    <n v="15"/>
    <n v="6375"/>
    <n v="5469.06"/>
    <n v="905.94"/>
    <s v="Card"/>
    <d v="2025-12-10T00:00:00"/>
  </r>
  <r>
    <s v="ORD00094"/>
    <d v="2025-03-19T00:00:00"/>
    <x v="2"/>
    <x v="4"/>
    <x v="0"/>
    <s v="XYZ Ltd"/>
    <x v="1"/>
    <s v="Desk"/>
    <n v="3"/>
    <n v="10000"/>
    <n v="5"/>
    <n v="28500"/>
    <n v="25246.33"/>
    <n v="3253.67"/>
    <s v="Cash"/>
    <d v="2025-03-19T00:00:00"/>
  </r>
  <r>
    <s v="ORD00095"/>
    <d v="2025-02-25T00:00:00"/>
    <x v="3"/>
    <x v="7"/>
    <x v="3"/>
    <s v="ABC Pvt Ltd"/>
    <x v="2"/>
    <s v="USB Drive"/>
    <n v="5"/>
    <n v="900"/>
    <n v="5"/>
    <n v="4275"/>
    <n v="3114.5"/>
    <n v="1160.5"/>
    <s v="Card"/>
    <d v="2025-02-25T00:00:00"/>
  </r>
  <r>
    <s v="ORD00096"/>
    <d v="2025-01-31T00:00:00"/>
    <x v="1"/>
    <x v="8"/>
    <x v="1"/>
    <s v="ABC Pvt Ltd"/>
    <x v="2"/>
    <s v="Headset"/>
    <n v="4"/>
    <n v="2500"/>
    <n v="0"/>
    <n v="10000"/>
    <n v="8592.41"/>
    <n v="1407.59"/>
    <s v="Net Banking"/>
    <d v="2025-01-31T00:00:00"/>
  </r>
  <r>
    <s v="ORD00097"/>
    <d v="2025-02-12T00:00:00"/>
    <x v="3"/>
    <x v="9"/>
    <x v="1"/>
    <s v="ABC Pvt Ltd"/>
    <x v="0"/>
    <s v="Keyboard"/>
    <n v="3"/>
    <n v="1500"/>
    <n v="15"/>
    <n v="3825"/>
    <n v="2931.65"/>
    <n v="893.35"/>
    <s v="Card"/>
    <d v="2025-02-12T00:00:00"/>
  </r>
  <r>
    <s v="ORD00098"/>
    <d v="2025-07-02T00:00:00"/>
    <x v="2"/>
    <x v="2"/>
    <x v="4"/>
    <s v="Global Mart"/>
    <x v="1"/>
    <s v="Desk"/>
    <n v="9"/>
    <n v="10000"/>
    <n v="15"/>
    <n v="76500"/>
    <n v="51668.23"/>
    <n v="24831.77"/>
    <s v="UPI"/>
    <d v="2025-07-02T00:00:00"/>
  </r>
  <r>
    <s v="ORD00099"/>
    <d v="2025-07-03T00:00:00"/>
    <x v="1"/>
    <x v="1"/>
    <x v="3"/>
    <s v="ABC Pvt Ltd"/>
    <x v="1"/>
    <s v="Desk"/>
    <n v="8"/>
    <n v="10000"/>
    <n v="15"/>
    <n v="68000"/>
    <n v="47136.94"/>
    <n v="20863.060000000001"/>
    <s v="Net Banking"/>
    <d v="2025-07-03T00:00:00"/>
  </r>
  <r>
    <s v="ORD00100"/>
    <d v="2025-03-24T00:00:00"/>
    <x v="3"/>
    <x v="3"/>
    <x v="3"/>
    <s v="Prime Stores"/>
    <x v="2"/>
    <s v="USB Drive"/>
    <n v="3"/>
    <n v="900"/>
    <n v="5"/>
    <n v="2565"/>
    <n v="1856.39"/>
    <n v="708.61"/>
    <s v="Net Banking"/>
    <d v="2025-03-24T00:00:00"/>
  </r>
  <r>
    <s v="ORD00101"/>
    <d v="2025-08-02T00:00:00"/>
    <x v="1"/>
    <x v="8"/>
    <x v="3"/>
    <s v="Vision Corp"/>
    <x v="0"/>
    <s v="Keyboard"/>
    <n v="5"/>
    <n v="1500"/>
    <n v="0"/>
    <n v="7500"/>
    <n v="5742.66"/>
    <n v="1757.34"/>
    <s v="Cash"/>
    <d v="2025-08-02T00:00:00"/>
  </r>
  <r>
    <s v="ORD00102"/>
    <d v="2025-04-09T00:00:00"/>
    <x v="2"/>
    <x v="2"/>
    <x v="0"/>
    <s v="Tech Solutions"/>
    <x v="1"/>
    <s v="Office Chair"/>
    <n v="10"/>
    <n v="6000"/>
    <n v="0"/>
    <n v="60000"/>
    <n v="43483.38"/>
    <n v="16516.62"/>
    <s v="Card"/>
    <d v="2025-04-09T00:00:00"/>
  </r>
  <r>
    <s v="ORD00103"/>
    <d v="2025-05-14T00:00:00"/>
    <x v="0"/>
    <x v="5"/>
    <x v="5"/>
    <s v="Vision Corp"/>
    <x v="0"/>
    <s v="Keyboard"/>
    <n v="6"/>
    <n v="1500"/>
    <n v="5"/>
    <n v="8550"/>
    <n v="7307.57"/>
    <n v="1242.43"/>
    <s v="Cash"/>
    <d v="2025-05-14T00:00:00"/>
  </r>
  <r>
    <s v="ORD00104"/>
    <d v="2025-12-05T00:00:00"/>
    <x v="1"/>
    <x v="6"/>
    <x v="4"/>
    <s v="Tech Solutions"/>
    <x v="2"/>
    <s v="Headset"/>
    <n v="2"/>
    <n v="2500"/>
    <n v="0"/>
    <n v="5000"/>
    <n v="3494.94"/>
    <n v="1505.06"/>
    <s v="UPI"/>
    <d v="2025-12-05T00:00:00"/>
  </r>
  <r>
    <s v="ORD00105"/>
    <d v="2025-12-24T00:00:00"/>
    <x v="2"/>
    <x v="2"/>
    <x v="5"/>
    <s v="Vision Corp"/>
    <x v="2"/>
    <s v="Mouse"/>
    <n v="3"/>
    <n v="800"/>
    <n v="15"/>
    <n v="2040"/>
    <n v="1632.21"/>
    <n v="407.79"/>
    <s v="Card"/>
    <d v="2025-12-24T00:00:00"/>
  </r>
  <r>
    <s v="ORD00106"/>
    <d v="2025-08-24T00:00:00"/>
    <x v="1"/>
    <x v="6"/>
    <x v="4"/>
    <s v="Vision Corp"/>
    <x v="0"/>
    <s v="Laptop"/>
    <n v="1"/>
    <n v="55000"/>
    <n v="10"/>
    <n v="49500"/>
    <n v="42209.66"/>
    <n v="7290.34"/>
    <s v="Card"/>
    <d v="2025-08-24T00:00:00"/>
  </r>
  <r>
    <s v="ORD00107"/>
    <d v="2025-11-28T00:00:00"/>
    <x v="2"/>
    <x v="2"/>
    <x v="2"/>
    <s v="XYZ Ltd"/>
    <x v="2"/>
    <s v="Mouse"/>
    <n v="1"/>
    <n v="800"/>
    <n v="5"/>
    <n v="760"/>
    <n v="560.22"/>
    <n v="199.78"/>
    <s v="UPI"/>
    <d v="2025-11-28T00:00:00"/>
  </r>
  <r>
    <s v="ORD00108"/>
    <d v="2025-01-13T00:00:00"/>
    <x v="0"/>
    <x v="5"/>
    <x v="5"/>
    <s v="Prime Stores"/>
    <x v="2"/>
    <s v="USB Drive"/>
    <n v="5"/>
    <n v="900"/>
    <n v="15"/>
    <n v="3825"/>
    <n v="3401.49"/>
    <n v="423.51"/>
    <s v="Card"/>
    <d v="2025-01-13T00:00:00"/>
  </r>
  <r>
    <s v="ORD00109"/>
    <d v="2025-06-19T00:00:00"/>
    <x v="2"/>
    <x v="2"/>
    <x v="0"/>
    <s v="XYZ Ltd"/>
    <x v="0"/>
    <s v="Keyboard"/>
    <n v="2"/>
    <n v="1500"/>
    <n v="0"/>
    <n v="3000"/>
    <n v="2313.66"/>
    <n v="686.34"/>
    <s v="Net Banking"/>
    <d v="2025-06-19T00:00:00"/>
  </r>
  <r>
    <s v="ORD00110"/>
    <d v="2025-10-20T00:00:00"/>
    <x v="2"/>
    <x v="4"/>
    <x v="5"/>
    <s v="Prime Stores"/>
    <x v="0"/>
    <s v="Laptop"/>
    <n v="2"/>
    <n v="55000"/>
    <n v="10"/>
    <n v="99000"/>
    <n v="71553.56"/>
    <n v="27446.44"/>
    <s v="Net Banking"/>
    <d v="2025-10-20T00:00:00"/>
  </r>
  <r>
    <s v="ORD00111"/>
    <d v="2025-07-02T00:00:00"/>
    <x v="0"/>
    <x v="0"/>
    <x v="1"/>
    <s v="Vision Corp"/>
    <x v="1"/>
    <s v="Desk"/>
    <n v="3"/>
    <n v="10000"/>
    <n v="15"/>
    <n v="25500"/>
    <n v="17308.32"/>
    <n v="8191.68"/>
    <s v="UPI"/>
    <d v="2025-07-02T00:00:00"/>
  </r>
  <r>
    <s v="ORD00112"/>
    <d v="2025-05-15T00:00:00"/>
    <x v="3"/>
    <x v="7"/>
    <x v="3"/>
    <s v="Prime Stores"/>
    <x v="2"/>
    <s v="Headset"/>
    <n v="3"/>
    <n v="2500"/>
    <n v="15"/>
    <n v="6375"/>
    <n v="5670.7"/>
    <n v="704.3"/>
    <s v="Net Banking"/>
    <d v="2025-05-15T00:00:00"/>
  </r>
  <r>
    <s v="ORD00113"/>
    <d v="2025-02-05T00:00:00"/>
    <x v="0"/>
    <x v="5"/>
    <x v="4"/>
    <s v="Prime Stores"/>
    <x v="1"/>
    <s v="Desk"/>
    <n v="9"/>
    <n v="10000"/>
    <n v="0"/>
    <n v="90000"/>
    <n v="64678.18"/>
    <n v="25321.82"/>
    <s v="Net Banking"/>
    <d v="2025-02-05T00:00:00"/>
  </r>
  <r>
    <s v="ORD00114"/>
    <d v="2025-05-18T00:00:00"/>
    <x v="3"/>
    <x v="9"/>
    <x v="1"/>
    <s v="Tech Solutions"/>
    <x v="2"/>
    <s v="USB Drive"/>
    <n v="4"/>
    <n v="900"/>
    <n v="0"/>
    <n v="3600"/>
    <n v="2770.78"/>
    <n v="829.22"/>
    <s v="Cash"/>
    <d v="2025-05-18T00:00:00"/>
  </r>
  <r>
    <s v="ORD00115"/>
    <d v="2025-08-16T00:00:00"/>
    <x v="0"/>
    <x v="0"/>
    <x v="0"/>
    <s v="ABC Pvt Ltd"/>
    <x v="2"/>
    <s v="USB Drive"/>
    <n v="1"/>
    <n v="900"/>
    <n v="5"/>
    <n v="855"/>
    <n v="608.04"/>
    <n v="246.96"/>
    <s v="Net Banking"/>
    <d v="2025-08-16T00:00:00"/>
  </r>
  <r>
    <s v="ORD00116"/>
    <d v="2025-05-22T00:00:00"/>
    <x v="3"/>
    <x v="3"/>
    <x v="0"/>
    <s v="Tech Solutions"/>
    <x v="2"/>
    <s v="USB Drive"/>
    <n v="6"/>
    <n v="900"/>
    <n v="5"/>
    <n v="5130"/>
    <n v="3478.66"/>
    <n v="1651.34"/>
    <s v="Cash"/>
    <d v="2025-05-22T00:00:00"/>
  </r>
  <r>
    <s v="ORD00117"/>
    <d v="2025-05-10T00:00:00"/>
    <x v="0"/>
    <x v="5"/>
    <x v="2"/>
    <s v="Tech Solutions"/>
    <x v="2"/>
    <s v="Mouse"/>
    <n v="2"/>
    <n v="800"/>
    <n v="15"/>
    <n v="1360"/>
    <n v="1198.44"/>
    <n v="161.56"/>
    <s v="Net Banking"/>
    <d v="2025-05-10T00:00:00"/>
  </r>
  <r>
    <s v="ORD00118"/>
    <d v="2025-09-29T00:00:00"/>
    <x v="1"/>
    <x v="1"/>
    <x v="3"/>
    <s v="Tech Solutions"/>
    <x v="2"/>
    <s v="Mouse"/>
    <n v="7"/>
    <n v="800"/>
    <n v="15"/>
    <n v="4760"/>
    <n v="3154.31"/>
    <n v="1605.69"/>
    <s v="Cash"/>
    <d v="2025-09-29T00:00:00"/>
  </r>
  <r>
    <s v="ORD00119"/>
    <d v="2025-07-22T00:00:00"/>
    <x v="2"/>
    <x v="4"/>
    <x v="2"/>
    <s v="XYZ Ltd"/>
    <x v="2"/>
    <s v="USB Drive"/>
    <n v="1"/>
    <n v="900"/>
    <n v="0"/>
    <n v="900"/>
    <n v="692.36"/>
    <n v="207.64"/>
    <s v="Net Banking"/>
    <d v="2025-07-22T00:00:00"/>
  </r>
  <r>
    <s v="ORD00120"/>
    <d v="2025-11-13T00:00:00"/>
    <x v="2"/>
    <x v="4"/>
    <x v="1"/>
    <s v="Global Mart"/>
    <x v="0"/>
    <s v="Laptop"/>
    <n v="8"/>
    <n v="55000"/>
    <n v="5"/>
    <n v="418000"/>
    <n v="328987.94"/>
    <n v="89012.06"/>
    <s v="Card"/>
    <d v="2025-11-13T00:00:00"/>
  </r>
  <r>
    <s v="ORD00121"/>
    <d v="2025-09-24T00:00:00"/>
    <x v="1"/>
    <x v="8"/>
    <x v="4"/>
    <s v="XYZ Ltd"/>
    <x v="1"/>
    <s v="Office Chair"/>
    <n v="1"/>
    <n v="6000"/>
    <n v="15"/>
    <n v="5100"/>
    <n v="3419.84"/>
    <n v="1680.16"/>
    <s v="Card"/>
    <d v="2025-09-24T00:00:00"/>
  </r>
  <r>
    <s v="ORD00122"/>
    <d v="2025-12-26T00:00:00"/>
    <x v="2"/>
    <x v="2"/>
    <x v="1"/>
    <s v="Global Mart"/>
    <x v="0"/>
    <s v="Keyboard"/>
    <n v="6"/>
    <n v="1500"/>
    <n v="10"/>
    <n v="8100"/>
    <n v="7268.25"/>
    <n v="831.75"/>
    <s v="Net Banking"/>
    <d v="2025-12-26T00:00:00"/>
  </r>
  <r>
    <s v="ORD00123"/>
    <d v="2025-01-05T00:00:00"/>
    <x v="2"/>
    <x v="4"/>
    <x v="2"/>
    <s v="Vision Corp"/>
    <x v="2"/>
    <s v="Mouse"/>
    <n v="1"/>
    <n v="800"/>
    <n v="15"/>
    <n v="680"/>
    <n v="608.32000000000005"/>
    <n v="71.680000000000007"/>
    <s v="Card"/>
    <d v="2025-01-05T00:00:00"/>
  </r>
  <r>
    <s v="ORD00124"/>
    <d v="2025-01-25T00:00:00"/>
    <x v="2"/>
    <x v="2"/>
    <x v="3"/>
    <s v="XYZ Ltd"/>
    <x v="2"/>
    <s v="Headset"/>
    <n v="6"/>
    <n v="2500"/>
    <n v="0"/>
    <n v="15000"/>
    <n v="10242.799999999999"/>
    <n v="4757.2"/>
    <s v="Card"/>
    <d v="2025-01-25T00:00:00"/>
  </r>
  <r>
    <s v="ORD00125"/>
    <d v="2025-02-15T00:00:00"/>
    <x v="3"/>
    <x v="7"/>
    <x v="1"/>
    <s v="Prime Stores"/>
    <x v="1"/>
    <s v="Desk"/>
    <n v="4"/>
    <n v="10000"/>
    <n v="15"/>
    <n v="34000"/>
    <n v="28641.5"/>
    <n v="5358.5"/>
    <s v="Card"/>
    <d v="2025-02-15T00:00:00"/>
  </r>
  <r>
    <s v="ORD00126"/>
    <d v="2025-06-28T00:00:00"/>
    <x v="2"/>
    <x v="4"/>
    <x v="2"/>
    <s v="Vision Corp"/>
    <x v="2"/>
    <s v="Headset"/>
    <n v="10"/>
    <n v="2500"/>
    <n v="10"/>
    <n v="22500"/>
    <n v="14879.84"/>
    <n v="7620.16"/>
    <s v="Net Banking"/>
    <d v="2025-06-28T00:00:00"/>
  </r>
  <r>
    <s v="ORD00127"/>
    <d v="2025-12-12T00:00:00"/>
    <x v="3"/>
    <x v="7"/>
    <x v="3"/>
    <s v="ABC Pvt Ltd"/>
    <x v="1"/>
    <s v="Office Chair"/>
    <n v="7"/>
    <n v="6000"/>
    <n v="10"/>
    <n v="37800"/>
    <n v="31408.29"/>
    <n v="6391.71"/>
    <s v="Card"/>
    <d v="2025-12-12T00:00:00"/>
  </r>
  <r>
    <s v="ORD00128"/>
    <d v="2025-10-10T00:00:00"/>
    <x v="2"/>
    <x v="2"/>
    <x v="5"/>
    <s v="XYZ Ltd"/>
    <x v="2"/>
    <s v="Headset"/>
    <n v="7"/>
    <n v="2500"/>
    <n v="10"/>
    <n v="15750"/>
    <n v="10276.709999999999"/>
    <n v="5473.29"/>
    <s v="Net Banking"/>
    <d v="2025-10-10T00:00:00"/>
  </r>
  <r>
    <s v="ORD00129"/>
    <d v="2025-11-29T00:00:00"/>
    <x v="2"/>
    <x v="4"/>
    <x v="2"/>
    <s v="Prime Stores"/>
    <x v="1"/>
    <s v="Office Chair"/>
    <n v="1"/>
    <n v="6000"/>
    <n v="10"/>
    <n v="5400"/>
    <n v="3536.23"/>
    <n v="1863.77"/>
    <s v="Cash"/>
    <d v="2025-11-29T00:00:00"/>
  </r>
  <r>
    <s v="ORD00130"/>
    <d v="2025-05-11T00:00:00"/>
    <x v="2"/>
    <x v="4"/>
    <x v="5"/>
    <s v="ABC Pvt Ltd"/>
    <x v="2"/>
    <s v="USB Drive"/>
    <n v="1"/>
    <n v="900"/>
    <n v="5"/>
    <n v="855"/>
    <n v="624.16999999999996"/>
    <n v="230.83"/>
    <s v="Card"/>
    <d v="2025-05-11T00:00:00"/>
  </r>
  <r>
    <s v="ORD00131"/>
    <d v="2025-12-22T00:00:00"/>
    <x v="3"/>
    <x v="7"/>
    <x v="5"/>
    <s v="Tech Solutions"/>
    <x v="1"/>
    <s v="Office Chair"/>
    <n v="7"/>
    <n v="6000"/>
    <n v="0"/>
    <n v="42000"/>
    <n v="28673.58"/>
    <n v="13326.42"/>
    <s v="Card"/>
    <d v="2025-12-22T00:00:00"/>
  </r>
  <r>
    <s v="ORD00132"/>
    <d v="2025-03-04T00:00:00"/>
    <x v="2"/>
    <x v="2"/>
    <x v="5"/>
    <s v="Vision Corp"/>
    <x v="0"/>
    <s v="Keyboard"/>
    <n v="3"/>
    <n v="1500"/>
    <n v="15"/>
    <n v="3825"/>
    <n v="2880.09"/>
    <n v="944.91"/>
    <s v="UPI"/>
    <d v="2025-03-04T00:00:00"/>
  </r>
  <r>
    <s v="ORD00133"/>
    <d v="2025-04-16T00:00:00"/>
    <x v="2"/>
    <x v="4"/>
    <x v="1"/>
    <s v="Prime Stores"/>
    <x v="2"/>
    <s v="USB Drive"/>
    <n v="1"/>
    <n v="900"/>
    <n v="0"/>
    <n v="900"/>
    <n v="725.68"/>
    <n v="174.32"/>
    <s v="UPI"/>
    <d v="2025-04-16T00:00:00"/>
  </r>
  <r>
    <s v="ORD00134"/>
    <d v="2025-07-28T00:00:00"/>
    <x v="2"/>
    <x v="4"/>
    <x v="5"/>
    <s v="XYZ Ltd"/>
    <x v="2"/>
    <s v="Mouse"/>
    <n v="7"/>
    <n v="800"/>
    <n v="15"/>
    <n v="4760"/>
    <n v="4179.59"/>
    <n v="580.41"/>
    <s v="Net Banking"/>
    <d v="2025-07-28T00:00:00"/>
  </r>
  <r>
    <s v="ORD00135"/>
    <d v="2025-05-27T00:00:00"/>
    <x v="3"/>
    <x v="7"/>
    <x v="4"/>
    <s v="XYZ Ltd"/>
    <x v="1"/>
    <s v="Office Chair"/>
    <n v="10"/>
    <n v="6000"/>
    <n v="5"/>
    <n v="57000"/>
    <n v="37087.64"/>
    <n v="19912.36"/>
    <s v="UPI"/>
    <d v="2025-05-27T00:00:00"/>
  </r>
  <r>
    <s v="ORD00136"/>
    <d v="2025-12-28T00:00:00"/>
    <x v="0"/>
    <x v="0"/>
    <x v="3"/>
    <s v="Tech Solutions"/>
    <x v="2"/>
    <s v="Mouse"/>
    <n v="2"/>
    <n v="800"/>
    <n v="5"/>
    <n v="1520"/>
    <n v="1207.1199999999999"/>
    <n v="312.88"/>
    <s v="UPI"/>
    <d v="2025-12-28T00:00:00"/>
  </r>
  <r>
    <s v="ORD00137"/>
    <d v="2025-01-31T00:00:00"/>
    <x v="1"/>
    <x v="8"/>
    <x v="0"/>
    <s v="Prime Stores"/>
    <x v="1"/>
    <s v="Desk"/>
    <n v="1"/>
    <n v="10000"/>
    <n v="5"/>
    <n v="9500"/>
    <n v="7981.17"/>
    <n v="1518.83"/>
    <s v="UPI"/>
    <d v="2025-01-31T00:00:00"/>
  </r>
  <r>
    <s v="ORD00138"/>
    <d v="2025-05-05T00:00:00"/>
    <x v="0"/>
    <x v="0"/>
    <x v="3"/>
    <s v="XYZ Ltd"/>
    <x v="2"/>
    <s v="Mouse"/>
    <n v="6"/>
    <n v="800"/>
    <n v="0"/>
    <n v="4800"/>
    <n v="4072.95"/>
    <n v="727.05"/>
    <s v="Net Banking"/>
    <d v="2025-05-05T00:00:00"/>
  </r>
  <r>
    <s v="ORD00139"/>
    <d v="2025-12-22T00:00:00"/>
    <x v="3"/>
    <x v="9"/>
    <x v="3"/>
    <s v="XYZ Ltd"/>
    <x v="0"/>
    <s v="Monitor"/>
    <n v="4"/>
    <n v="12000"/>
    <n v="10"/>
    <n v="43200"/>
    <n v="36438.35"/>
    <n v="6761.65"/>
    <s v="UPI"/>
    <d v="2025-12-22T00:00:00"/>
  </r>
  <r>
    <s v="ORD00140"/>
    <d v="2025-09-23T00:00:00"/>
    <x v="2"/>
    <x v="4"/>
    <x v="5"/>
    <s v="Tech Solutions"/>
    <x v="1"/>
    <s v="Desk"/>
    <n v="6"/>
    <n v="10000"/>
    <n v="5"/>
    <n v="57000"/>
    <n v="43095.33"/>
    <n v="13904.67"/>
    <s v="Card"/>
    <d v="2025-09-23T00:00:00"/>
  </r>
  <r>
    <s v="ORD00141"/>
    <d v="2025-06-20T00:00:00"/>
    <x v="0"/>
    <x v="0"/>
    <x v="0"/>
    <s v="Tech Solutions"/>
    <x v="1"/>
    <s v="Office Chair"/>
    <n v="6"/>
    <n v="6000"/>
    <n v="5"/>
    <n v="34200"/>
    <n v="22323.09"/>
    <n v="11876.91"/>
    <s v="Card"/>
    <d v="2025-06-20T00:00:00"/>
  </r>
  <r>
    <s v="ORD00142"/>
    <d v="2025-09-23T00:00:00"/>
    <x v="1"/>
    <x v="1"/>
    <x v="1"/>
    <s v="Global Mart"/>
    <x v="0"/>
    <s v="Monitor"/>
    <n v="6"/>
    <n v="12000"/>
    <n v="10"/>
    <n v="64800"/>
    <n v="54939.91"/>
    <n v="9860.09"/>
    <s v="UPI"/>
    <d v="2025-09-23T00:00:00"/>
  </r>
  <r>
    <s v="ORD00143"/>
    <d v="2025-05-12T00:00:00"/>
    <x v="1"/>
    <x v="1"/>
    <x v="3"/>
    <s v="ABC Pvt Ltd"/>
    <x v="1"/>
    <s v="Office Chair"/>
    <n v="10"/>
    <n v="6000"/>
    <n v="5"/>
    <n v="57000"/>
    <n v="44939.5"/>
    <n v="12060.5"/>
    <s v="Cash"/>
    <d v="2025-05-12T00:00:00"/>
  </r>
  <r>
    <s v="ORD00144"/>
    <d v="2025-01-16T00:00:00"/>
    <x v="2"/>
    <x v="2"/>
    <x v="3"/>
    <s v="XYZ Ltd"/>
    <x v="1"/>
    <s v="Office Chair"/>
    <n v="8"/>
    <n v="6000"/>
    <n v="0"/>
    <n v="48000"/>
    <n v="32416.53"/>
    <n v="15583.47"/>
    <s v="UPI"/>
    <d v="2025-01-16T00:00:00"/>
  </r>
  <r>
    <s v="ORD00145"/>
    <d v="2025-09-17T00:00:00"/>
    <x v="1"/>
    <x v="8"/>
    <x v="3"/>
    <s v="Vision Corp"/>
    <x v="2"/>
    <s v="Headset"/>
    <n v="9"/>
    <n v="2500"/>
    <n v="5"/>
    <n v="21375"/>
    <n v="15003.19"/>
    <n v="6371.81"/>
    <s v="Net Banking"/>
    <d v="2025-09-17T00:00:00"/>
  </r>
  <r>
    <s v="ORD00146"/>
    <d v="2025-03-04T00:00:00"/>
    <x v="1"/>
    <x v="1"/>
    <x v="1"/>
    <s v="Global Mart"/>
    <x v="1"/>
    <s v="Desk"/>
    <n v="3"/>
    <n v="10000"/>
    <n v="0"/>
    <n v="30000"/>
    <n v="26463.81"/>
    <n v="3536.19"/>
    <s v="Net Banking"/>
    <d v="2025-03-04T00:00:00"/>
  </r>
  <r>
    <s v="ORD00147"/>
    <d v="2025-03-29T00:00:00"/>
    <x v="3"/>
    <x v="9"/>
    <x v="2"/>
    <s v="Prime Stores"/>
    <x v="0"/>
    <s v="Laptop"/>
    <n v="2"/>
    <n v="55000"/>
    <n v="5"/>
    <n v="104500"/>
    <n v="87402.21"/>
    <n v="17097.79"/>
    <s v="Card"/>
    <d v="2025-03-29T00:00:00"/>
  </r>
  <r>
    <s v="ORD00148"/>
    <d v="2025-10-22T00:00:00"/>
    <x v="1"/>
    <x v="6"/>
    <x v="3"/>
    <s v="ABC Pvt Ltd"/>
    <x v="0"/>
    <s v="Laptop"/>
    <n v="1"/>
    <n v="55000"/>
    <n v="0"/>
    <n v="55000"/>
    <n v="39313"/>
    <n v="15687"/>
    <s v="UPI"/>
    <d v="2025-10-22T00:00:00"/>
  </r>
  <r>
    <s v="ORD00149"/>
    <d v="2025-03-08T00:00:00"/>
    <x v="1"/>
    <x v="1"/>
    <x v="1"/>
    <s v="Global Mart"/>
    <x v="2"/>
    <s v="USB Drive"/>
    <n v="1"/>
    <n v="900"/>
    <n v="15"/>
    <n v="765"/>
    <n v="581.33000000000004"/>
    <n v="183.67"/>
    <s v="Cash"/>
    <d v="2025-03-08T00:00:00"/>
  </r>
  <r>
    <s v="ORD00150"/>
    <d v="2025-01-14T00:00:00"/>
    <x v="3"/>
    <x v="3"/>
    <x v="1"/>
    <s v="XYZ Ltd"/>
    <x v="1"/>
    <s v="Office Chair"/>
    <n v="1"/>
    <n v="6000"/>
    <n v="0"/>
    <n v="6000"/>
    <n v="4871.12"/>
    <n v="1128.8800000000001"/>
    <s v="Card"/>
    <d v="2025-01-14T00:00:00"/>
  </r>
  <r>
    <s v="ORD00151"/>
    <d v="2025-12-27T00:00:00"/>
    <x v="2"/>
    <x v="4"/>
    <x v="1"/>
    <s v="Prime Stores"/>
    <x v="1"/>
    <s v="Desk"/>
    <n v="1"/>
    <n v="10000"/>
    <n v="10"/>
    <n v="9000"/>
    <n v="6371.78"/>
    <n v="2628.22"/>
    <s v="Net Banking"/>
    <d v="2025-12-27T00:00:00"/>
  </r>
  <r>
    <s v="ORD00152"/>
    <d v="2025-05-27T00:00:00"/>
    <x v="1"/>
    <x v="1"/>
    <x v="1"/>
    <s v="XYZ Ltd"/>
    <x v="0"/>
    <s v="Monitor"/>
    <n v="8"/>
    <n v="12000"/>
    <n v="15"/>
    <n v="81600"/>
    <n v="55048.67"/>
    <n v="26551.33"/>
    <s v="UPI"/>
    <d v="2025-05-27T00:00:00"/>
  </r>
  <r>
    <s v="ORD00153"/>
    <d v="2025-09-13T00:00:00"/>
    <x v="0"/>
    <x v="0"/>
    <x v="0"/>
    <s v="Global Mart"/>
    <x v="0"/>
    <s v="Laptop"/>
    <n v="6"/>
    <n v="55000"/>
    <n v="0"/>
    <n v="330000"/>
    <n v="250281.87"/>
    <n v="79718.13"/>
    <s v="UPI"/>
    <d v="2025-09-13T00:00:00"/>
  </r>
  <r>
    <s v="ORD00154"/>
    <d v="2025-01-02T00:00:00"/>
    <x v="0"/>
    <x v="5"/>
    <x v="1"/>
    <s v="Vision Corp"/>
    <x v="0"/>
    <s v="Monitor"/>
    <n v="8"/>
    <n v="12000"/>
    <n v="15"/>
    <n v="81600"/>
    <n v="66945.25"/>
    <n v="14654.75"/>
    <s v="Net Banking"/>
    <d v="2025-01-02T00:00:00"/>
  </r>
  <r>
    <s v="ORD00155"/>
    <d v="2025-03-05T00:00:00"/>
    <x v="2"/>
    <x v="2"/>
    <x v="4"/>
    <s v="Tech Solutions"/>
    <x v="1"/>
    <s v="Desk"/>
    <n v="5"/>
    <n v="10000"/>
    <n v="0"/>
    <n v="50000"/>
    <n v="34085.629999999997"/>
    <n v="15914.37"/>
    <s v="Net Banking"/>
    <d v="2025-03-05T00:00:00"/>
  </r>
  <r>
    <s v="ORD00156"/>
    <d v="2025-12-16T00:00:00"/>
    <x v="0"/>
    <x v="0"/>
    <x v="5"/>
    <s v="Tech Solutions"/>
    <x v="2"/>
    <s v="USB Drive"/>
    <n v="4"/>
    <n v="900"/>
    <n v="15"/>
    <n v="3060"/>
    <n v="2211.46"/>
    <n v="848.54"/>
    <s v="Net Banking"/>
    <d v="2025-12-16T00:00:00"/>
  </r>
  <r>
    <s v="ORD00157"/>
    <d v="2025-04-19T00:00:00"/>
    <x v="3"/>
    <x v="7"/>
    <x v="4"/>
    <s v="Tech Solutions"/>
    <x v="2"/>
    <s v="Mouse"/>
    <n v="8"/>
    <n v="800"/>
    <n v="5"/>
    <n v="6080"/>
    <n v="5452.03"/>
    <n v="627.97"/>
    <s v="Net Banking"/>
    <d v="2025-04-19T00:00:00"/>
  </r>
  <r>
    <s v="ORD00158"/>
    <d v="2025-11-05T00:00:00"/>
    <x v="0"/>
    <x v="0"/>
    <x v="4"/>
    <s v="Prime Stores"/>
    <x v="2"/>
    <s v="Mouse"/>
    <n v="6"/>
    <n v="800"/>
    <n v="5"/>
    <n v="4560"/>
    <n v="3130.5"/>
    <n v="1429.5"/>
    <s v="Card"/>
    <d v="2025-11-05T00:00:00"/>
  </r>
  <r>
    <s v="ORD00159"/>
    <d v="2025-03-01T00:00:00"/>
    <x v="0"/>
    <x v="5"/>
    <x v="2"/>
    <s v="Prime Stores"/>
    <x v="0"/>
    <s v="Laptop"/>
    <n v="1"/>
    <n v="55000"/>
    <n v="0"/>
    <n v="55000"/>
    <n v="36260.120000000003"/>
    <n v="18739.88"/>
    <s v="Cash"/>
    <d v="2025-03-01T00:00:00"/>
  </r>
  <r>
    <s v="ORD00160"/>
    <d v="2025-02-15T00:00:00"/>
    <x v="2"/>
    <x v="4"/>
    <x v="1"/>
    <s v="ABC Pvt Ltd"/>
    <x v="0"/>
    <s v="Laptop"/>
    <n v="1"/>
    <n v="55000"/>
    <n v="15"/>
    <n v="46750"/>
    <n v="39451.839999999997"/>
    <n v="7298.16"/>
    <s v="Net Banking"/>
    <d v="2025-02-15T00:00:00"/>
  </r>
  <r>
    <s v="ORD00161"/>
    <d v="2025-03-17T00:00:00"/>
    <x v="0"/>
    <x v="5"/>
    <x v="1"/>
    <s v="Vision Corp"/>
    <x v="0"/>
    <s v="Monitor"/>
    <n v="3"/>
    <n v="12000"/>
    <n v="0"/>
    <n v="36000"/>
    <n v="23869.89"/>
    <n v="12130.11"/>
    <s v="UPI"/>
    <d v="2025-03-17T00:00:00"/>
  </r>
  <r>
    <s v="ORD00162"/>
    <d v="2025-05-20T00:00:00"/>
    <x v="1"/>
    <x v="1"/>
    <x v="3"/>
    <s v="XYZ Ltd"/>
    <x v="0"/>
    <s v="Monitor"/>
    <n v="6"/>
    <n v="12000"/>
    <n v="0"/>
    <n v="72000"/>
    <n v="62229.19"/>
    <n v="9770.81"/>
    <s v="Net Banking"/>
    <d v="2025-05-20T00:00:00"/>
  </r>
  <r>
    <s v="ORD00163"/>
    <d v="2025-11-03T00:00:00"/>
    <x v="0"/>
    <x v="0"/>
    <x v="5"/>
    <s v="Vision Corp"/>
    <x v="1"/>
    <s v="Office Chair"/>
    <n v="3"/>
    <n v="6000"/>
    <n v="5"/>
    <n v="17100"/>
    <n v="14549.04"/>
    <n v="2550.96"/>
    <s v="Card"/>
    <d v="2025-11-03T00:00:00"/>
  </r>
  <r>
    <s v="ORD00164"/>
    <d v="2025-11-23T00:00:00"/>
    <x v="3"/>
    <x v="9"/>
    <x v="2"/>
    <s v="Prime Stores"/>
    <x v="2"/>
    <s v="Headset"/>
    <n v="10"/>
    <n v="2500"/>
    <n v="15"/>
    <n v="21250"/>
    <n v="14160.35"/>
    <n v="7089.65"/>
    <s v="Card"/>
    <d v="2025-11-23T00:00:00"/>
  </r>
  <r>
    <s v="ORD00165"/>
    <d v="2025-08-16T00:00:00"/>
    <x v="1"/>
    <x v="6"/>
    <x v="3"/>
    <s v="Prime Stores"/>
    <x v="1"/>
    <s v="Office Chair"/>
    <n v="4"/>
    <n v="6000"/>
    <n v="15"/>
    <n v="20400"/>
    <n v="16147.47"/>
    <n v="4252.53"/>
    <s v="Net Banking"/>
    <d v="2025-08-16T00:00:00"/>
  </r>
  <r>
    <s v="ORD00166"/>
    <d v="2025-05-11T00:00:00"/>
    <x v="0"/>
    <x v="5"/>
    <x v="3"/>
    <s v="Tech Solutions"/>
    <x v="0"/>
    <s v="Monitor"/>
    <n v="6"/>
    <n v="12000"/>
    <n v="15"/>
    <n v="61200"/>
    <n v="47988.2"/>
    <n v="13211.8"/>
    <s v="Cash"/>
    <d v="2025-05-11T00:00:00"/>
  </r>
  <r>
    <s v="ORD00167"/>
    <d v="2025-04-25T00:00:00"/>
    <x v="0"/>
    <x v="0"/>
    <x v="5"/>
    <s v="ABC Pvt Ltd"/>
    <x v="2"/>
    <s v="Mouse"/>
    <n v="2"/>
    <n v="800"/>
    <n v="0"/>
    <n v="1600"/>
    <n v="1240.1400000000001"/>
    <n v="359.86"/>
    <s v="Cash"/>
    <d v="2025-04-25T00:00:00"/>
  </r>
  <r>
    <s v="ORD00168"/>
    <d v="2025-09-17T00:00:00"/>
    <x v="1"/>
    <x v="6"/>
    <x v="0"/>
    <s v="Global Mart"/>
    <x v="1"/>
    <s v="Desk"/>
    <n v="1"/>
    <n v="10000"/>
    <n v="0"/>
    <n v="10000"/>
    <n v="8064.53"/>
    <n v="1935.47"/>
    <s v="Cash"/>
    <d v="2025-09-17T00:00:00"/>
  </r>
  <r>
    <s v="ORD00169"/>
    <d v="2025-12-08T00:00:00"/>
    <x v="1"/>
    <x v="1"/>
    <x v="0"/>
    <s v="Prime Stores"/>
    <x v="2"/>
    <s v="Headset"/>
    <n v="3"/>
    <n v="2500"/>
    <n v="0"/>
    <n v="7500"/>
    <n v="5927.32"/>
    <n v="1572.68"/>
    <s v="UPI"/>
    <d v="2025-12-08T00:00:00"/>
  </r>
  <r>
    <s v="ORD00170"/>
    <d v="2025-08-03T00:00:00"/>
    <x v="0"/>
    <x v="0"/>
    <x v="1"/>
    <s v="Global Mart"/>
    <x v="0"/>
    <s v="Laptop"/>
    <n v="9"/>
    <n v="55000"/>
    <n v="5"/>
    <n v="470250"/>
    <n v="335226.34999999998"/>
    <n v="135023.65"/>
    <s v="UPI"/>
    <d v="2025-08-03T00:00:00"/>
  </r>
  <r>
    <s v="ORD00171"/>
    <d v="2025-09-24T00:00:00"/>
    <x v="0"/>
    <x v="0"/>
    <x v="0"/>
    <s v="Vision Corp"/>
    <x v="0"/>
    <s v="Laptop"/>
    <n v="7"/>
    <n v="55000"/>
    <n v="0"/>
    <n v="385000"/>
    <n v="261153.33"/>
    <n v="123846.67"/>
    <s v="UPI"/>
    <d v="2025-09-24T00:00:00"/>
  </r>
  <r>
    <s v="ORD00172"/>
    <d v="2025-11-22T00:00:00"/>
    <x v="0"/>
    <x v="5"/>
    <x v="5"/>
    <s v="ABC Pvt Ltd"/>
    <x v="2"/>
    <s v="USB Drive"/>
    <n v="4"/>
    <n v="900"/>
    <n v="0"/>
    <n v="3600"/>
    <n v="3239.88"/>
    <n v="360.12"/>
    <s v="UPI"/>
    <d v="2025-11-22T00:00:00"/>
  </r>
  <r>
    <s v="ORD00173"/>
    <d v="2025-01-17T00:00:00"/>
    <x v="2"/>
    <x v="2"/>
    <x v="3"/>
    <s v="Global Mart"/>
    <x v="2"/>
    <s v="Mouse"/>
    <n v="6"/>
    <n v="800"/>
    <n v="15"/>
    <n v="4080"/>
    <n v="2874.48"/>
    <n v="1205.52"/>
    <s v="Net Banking"/>
    <d v="2025-01-17T00:00:00"/>
  </r>
  <r>
    <s v="ORD00174"/>
    <d v="2025-06-23T00:00:00"/>
    <x v="2"/>
    <x v="4"/>
    <x v="2"/>
    <s v="Global Mart"/>
    <x v="0"/>
    <s v="Keyboard"/>
    <n v="2"/>
    <n v="1500"/>
    <n v="0"/>
    <n v="3000"/>
    <n v="2284.4299999999998"/>
    <n v="715.57"/>
    <s v="Cash"/>
    <d v="2025-06-23T00:00:00"/>
  </r>
  <r>
    <s v="ORD00175"/>
    <d v="2025-01-18T00:00:00"/>
    <x v="1"/>
    <x v="6"/>
    <x v="1"/>
    <s v="XYZ Ltd"/>
    <x v="1"/>
    <s v="Office Chair"/>
    <n v="8"/>
    <n v="6000"/>
    <n v="0"/>
    <n v="48000"/>
    <n v="40883.57"/>
    <n v="7116.43"/>
    <s v="Card"/>
    <d v="2025-01-18T00:00:00"/>
  </r>
  <r>
    <s v="ORD00176"/>
    <d v="2025-03-19T00:00:00"/>
    <x v="0"/>
    <x v="5"/>
    <x v="4"/>
    <s v="XYZ Ltd"/>
    <x v="1"/>
    <s v="Office Chair"/>
    <n v="10"/>
    <n v="6000"/>
    <n v="5"/>
    <n v="57000"/>
    <n v="38824.51"/>
    <n v="18175.490000000002"/>
    <s v="Net Banking"/>
    <d v="2025-03-19T00:00:00"/>
  </r>
  <r>
    <s v="ORD00177"/>
    <d v="2025-03-30T00:00:00"/>
    <x v="0"/>
    <x v="5"/>
    <x v="5"/>
    <s v="Tech Solutions"/>
    <x v="1"/>
    <s v="Office Chair"/>
    <n v="6"/>
    <n v="6000"/>
    <n v="10"/>
    <n v="32400"/>
    <n v="25455.22"/>
    <n v="6944.78"/>
    <s v="Cash"/>
    <d v="2025-03-30T00:00:00"/>
  </r>
  <r>
    <s v="ORD00178"/>
    <d v="2025-11-16T00:00:00"/>
    <x v="1"/>
    <x v="1"/>
    <x v="0"/>
    <s v="Tech Solutions"/>
    <x v="2"/>
    <s v="Mouse"/>
    <n v="9"/>
    <n v="800"/>
    <n v="0"/>
    <n v="7200"/>
    <n v="5788.64"/>
    <n v="1411.36"/>
    <s v="Card"/>
    <d v="2025-11-16T00:00:00"/>
  </r>
  <r>
    <s v="ORD00179"/>
    <d v="2025-05-12T00:00:00"/>
    <x v="1"/>
    <x v="1"/>
    <x v="3"/>
    <s v="Global Mart"/>
    <x v="1"/>
    <s v="Desk"/>
    <n v="5"/>
    <n v="10000"/>
    <n v="0"/>
    <n v="50000"/>
    <n v="40657.26"/>
    <n v="9342.74"/>
    <s v="Cash"/>
    <d v="2025-05-12T00:00:00"/>
  </r>
  <r>
    <s v="ORD00180"/>
    <d v="2025-07-08T00:00:00"/>
    <x v="3"/>
    <x v="7"/>
    <x v="0"/>
    <s v="Prime Stores"/>
    <x v="0"/>
    <s v="Monitor"/>
    <n v="2"/>
    <n v="12000"/>
    <n v="0"/>
    <n v="24000"/>
    <n v="15613.18"/>
    <n v="8386.82"/>
    <s v="Net Banking"/>
    <d v="2025-07-08T00:00:00"/>
  </r>
  <r>
    <s v="ORD00181"/>
    <d v="2025-04-07T00:00:00"/>
    <x v="2"/>
    <x v="4"/>
    <x v="3"/>
    <s v="ABC Pvt Ltd"/>
    <x v="2"/>
    <s v="USB Drive"/>
    <n v="3"/>
    <n v="900"/>
    <n v="0"/>
    <n v="2700"/>
    <n v="1814.39"/>
    <n v="885.61"/>
    <s v="Cash"/>
    <d v="2025-04-07T00:00:00"/>
  </r>
  <r>
    <s v="ORD00182"/>
    <d v="2025-11-24T00:00:00"/>
    <x v="1"/>
    <x v="8"/>
    <x v="5"/>
    <s v="Global Mart"/>
    <x v="2"/>
    <s v="Mouse"/>
    <n v="10"/>
    <n v="800"/>
    <n v="15"/>
    <n v="6800"/>
    <n v="4930.21"/>
    <n v="1869.79"/>
    <s v="Cash"/>
    <d v="2025-11-24T00:00:00"/>
  </r>
  <r>
    <s v="ORD00183"/>
    <d v="2025-05-15T00:00:00"/>
    <x v="1"/>
    <x v="1"/>
    <x v="4"/>
    <s v="Vision Corp"/>
    <x v="0"/>
    <s v="Keyboard"/>
    <n v="3"/>
    <n v="1500"/>
    <n v="10"/>
    <n v="4050"/>
    <n v="3095.92"/>
    <n v="954.08"/>
    <s v="Card"/>
    <d v="2025-05-15T00:00:00"/>
  </r>
  <r>
    <s v="ORD00184"/>
    <d v="2025-02-13T00:00:00"/>
    <x v="0"/>
    <x v="5"/>
    <x v="5"/>
    <s v="ABC Pvt Ltd"/>
    <x v="1"/>
    <s v="Office Chair"/>
    <n v="10"/>
    <n v="6000"/>
    <n v="0"/>
    <n v="60000"/>
    <n v="47754.51"/>
    <n v="12245.49"/>
    <s v="Card"/>
    <d v="2025-02-13T00:00:00"/>
  </r>
  <r>
    <s v="ORD00185"/>
    <d v="2025-02-22T00:00:00"/>
    <x v="2"/>
    <x v="4"/>
    <x v="1"/>
    <s v="ABC Pvt Ltd"/>
    <x v="0"/>
    <s v="Monitor"/>
    <n v="8"/>
    <n v="12000"/>
    <n v="0"/>
    <n v="96000"/>
    <n v="79558.210000000006"/>
    <n v="16441.79"/>
    <s v="Card"/>
    <d v="2025-02-22T00:00:00"/>
  </r>
  <r>
    <s v="ORD00186"/>
    <d v="2025-01-03T00:00:00"/>
    <x v="3"/>
    <x v="9"/>
    <x v="1"/>
    <s v="Global Mart"/>
    <x v="2"/>
    <s v="Headset"/>
    <n v="9"/>
    <n v="2500"/>
    <n v="10"/>
    <n v="20250"/>
    <n v="13164.27"/>
    <n v="7085.73"/>
    <s v="UPI"/>
    <d v="2025-01-03T00:00:00"/>
  </r>
  <r>
    <s v="ORD00187"/>
    <d v="2025-10-17T00:00:00"/>
    <x v="1"/>
    <x v="8"/>
    <x v="5"/>
    <s v="Vision Corp"/>
    <x v="1"/>
    <s v="Desk"/>
    <n v="6"/>
    <n v="10000"/>
    <n v="5"/>
    <n v="57000"/>
    <n v="41309.660000000003"/>
    <n v="15690.34"/>
    <s v="Cash"/>
    <d v="2025-10-17T00:00:00"/>
  </r>
  <r>
    <s v="ORD00188"/>
    <d v="2025-08-29T00:00:00"/>
    <x v="3"/>
    <x v="3"/>
    <x v="2"/>
    <s v="Prime Stores"/>
    <x v="2"/>
    <s v="Headset"/>
    <n v="9"/>
    <n v="2500"/>
    <n v="10"/>
    <n v="20250"/>
    <n v="16600.189999999999"/>
    <n v="3649.81"/>
    <s v="Cash"/>
    <d v="2025-08-29T00:00:00"/>
  </r>
  <r>
    <s v="ORD00189"/>
    <d v="2025-11-29T00:00:00"/>
    <x v="2"/>
    <x v="4"/>
    <x v="3"/>
    <s v="Tech Solutions"/>
    <x v="0"/>
    <s v="Monitor"/>
    <n v="2"/>
    <n v="12000"/>
    <n v="10"/>
    <n v="21600"/>
    <n v="14135.49"/>
    <n v="7464.51"/>
    <s v="Cash"/>
    <d v="2025-11-29T00:00:00"/>
  </r>
  <r>
    <s v="ORD00190"/>
    <d v="2025-05-19T00:00:00"/>
    <x v="2"/>
    <x v="2"/>
    <x v="2"/>
    <s v="Vision Corp"/>
    <x v="2"/>
    <s v="USB Drive"/>
    <n v="6"/>
    <n v="900"/>
    <n v="15"/>
    <n v="4590"/>
    <n v="3403.5"/>
    <n v="1186.5"/>
    <s v="Cash"/>
    <d v="2025-05-19T00:00:00"/>
  </r>
  <r>
    <s v="ORD00191"/>
    <d v="2025-06-26T00:00:00"/>
    <x v="0"/>
    <x v="5"/>
    <x v="0"/>
    <s v="XYZ Ltd"/>
    <x v="0"/>
    <s v="Monitor"/>
    <n v="5"/>
    <n v="12000"/>
    <n v="15"/>
    <n v="51000"/>
    <n v="35695.46"/>
    <n v="15304.54"/>
    <s v="UPI"/>
    <d v="2025-06-26T00:00:00"/>
  </r>
  <r>
    <s v="ORD00192"/>
    <d v="2025-02-08T00:00:00"/>
    <x v="2"/>
    <x v="2"/>
    <x v="1"/>
    <s v="XYZ Ltd"/>
    <x v="1"/>
    <s v="Office Chair"/>
    <n v="10"/>
    <n v="6000"/>
    <n v="15"/>
    <n v="51000"/>
    <n v="37133.33"/>
    <n v="13866.67"/>
    <s v="Net Banking"/>
    <d v="2025-02-08T00:00:00"/>
  </r>
  <r>
    <s v="ORD00193"/>
    <d v="2025-08-08T00:00:00"/>
    <x v="3"/>
    <x v="3"/>
    <x v="3"/>
    <s v="Global Mart"/>
    <x v="0"/>
    <s v="Laptop"/>
    <n v="8"/>
    <n v="55000"/>
    <n v="5"/>
    <n v="418000"/>
    <n v="309124.45"/>
    <n v="108875.55"/>
    <s v="UPI"/>
    <d v="2025-08-08T00:00:00"/>
  </r>
  <r>
    <s v="ORD00194"/>
    <d v="2025-07-05T00:00:00"/>
    <x v="2"/>
    <x v="4"/>
    <x v="2"/>
    <s v="ABC Pvt Ltd"/>
    <x v="0"/>
    <s v="Laptop"/>
    <n v="9"/>
    <n v="55000"/>
    <n v="0"/>
    <n v="495000"/>
    <n v="362315.5"/>
    <n v="132684.5"/>
    <s v="Cash"/>
    <d v="2025-07-05T00:00:00"/>
  </r>
  <r>
    <s v="ORD00195"/>
    <d v="2025-04-07T00:00:00"/>
    <x v="1"/>
    <x v="8"/>
    <x v="0"/>
    <s v="XYZ Ltd"/>
    <x v="1"/>
    <s v="Desk"/>
    <n v="6"/>
    <n v="10000"/>
    <n v="15"/>
    <n v="51000"/>
    <n v="36797.47"/>
    <n v="14202.53"/>
    <s v="Cash"/>
    <d v="2025-04-07T00:00:00"/>
  </r>
  <r>
    <s v="ORD00196"/>
    <d v="2025-08-20T00:00:00"/>
    <x v="0"/>
    <x v="0"/>
    <x v="0"/>
    <s v="ABC Pvt Ltd"/>
    <x v="2"/>
    <s v="Mouse"/>
    <n v="7"/>
    <n v="800"/>
    <n v="15"/>
    <n v="4760"/>
    <n v="3405.66"/>
    <n v="1354.34"/>
    <s v="Cash"/>
    <d v="2025-08-20T00:00:00"/>
  </r>
  <r>
    <s v="ORD00197"/>
    <d v="2025-05-28T00:00:00"/>
    <x v="2"/>
    <x v="2"/>
    <x v="1"/>
    <s v="XYZ Ltd"/>
    <x v="0"/>
    <s v="Laptop"/>
    <n v="1"/>
    <n v="55000"/>
    <n v="15"/>
    <n v="46750"/>
    <n v="35547.25"/>
    <n v="11202.75"/>
    <s v="Cash"/>
    <d v="2025-05-28T00:00:00"/>
  </r>
  <r>
    <s v="ORD00198"/>
    <d v="2025-01-15T00:00:00"/>
    <x v="1"/>
    <x v="6"/>
    <x v="0"/>
    <s v="Prime Stores"/>
    <x v="2"/>
    <s v="Headset"/>
    <n v="6"/>
    <n v="2500"/>
    <n v="5"/>
    <n v="14250"/>
    <n v="9597.66"/>
    <n v="4652.34"/>
    <s v="Cash"/>
    <d v="2025-01-15T00:00:00"/>
  </r>
  <r>
    <s v="ORD00199"/>
    <d v="2025-05-01T00:00:00"/>
    <x v="2"/>
    <x v="4"/>
    <x v="5"/>
    <s v="XYZ Ltd"/>
    <x v="0"/>
    <s v="Laptop"/>
    <n v="9"/>
    <n v="55000"/>
    <n v="0"/>
    <n v="495000"/>
    <n v="378859.53"/>
    <n v="116140.47"/>
    <s v="Cash"/>
    <d v="2025-05-01T00:00:00"/>
  </r>
  <r>
    <s v="ORD00200"/>
    <d v="2025-05-17T00:00:00"/>
    <x v="3"/>
    <x v="3"/>
    <x v="4"/>
    <s v="ABC Pvt Ltd"/>
    <x v="2"/>
    <s v="Mouse"/>
    <n v="1"/>
    <n v="800"/>
    <n v="10"/>
    <n v="720"/>
    <n v="616.15"/>
    <n v="103.85"/>
    <s v="Net Banking"/>
    <d v="2025-05-17T00:00:00"/>
  </r>
  <r>
    <s v="ORD00201"/>
    <d v="2025-06-16T00:00:00"/>
    <x v="3"/>
    <x v="3"/>
    <x v="5"/>
    <s v="Prime Stores"/>
    <x v="2"/>
    <s v="Mouse"/>
    <n v="4"/>
    <n v="800"/>
    <n v="0"/>
    <n v="3200"/>
    <n v="2840.93"/>
    <n v="359.07"/>
    <s v="UPI"/>
    <d v="2025-06-16T00:00:00"/>
  </r>
  <r>
    <s v="ORD00202"/>
    <d v="2025-06-15T00:00:00"/>
    <x v="1"/>
    <x v="8"/>
    <x v="0"/>
    <s v="Vision Corp"/>
    <x v="2"/>
    <s v="USB Drive"/>
    <n v="9"/>
    <n v="900"/>
    <n v="0"/>
    <n v="8100"/>
    <n v="5836.75"/>
    <n v="2263.25"/>
    <s v="Net Banking"/>
    <d v="2025-06-15T00:00:00"/>
  </r>
  <r>
    <s v="ORD00203"/>
    <d v="2025-01-19T00:00:00"/>
    <x v="1"/>
    <x v="1"/>
    <x v="5"/>
    <s v="XYZ Ltd"/>
    <x v="2"/>
    <s v="Headset"/>
    <n v="2"/>
    <n v="2500"/>
    <n v="0"/>
    <n v="5000"/>
    <n v="4466.9399999999996"/>
    <n v="533.05999999999995"/>
    <s v="Net Banking"/>
    <d v="2025-01-19T00:00:00"/>
  </r>
  <r>
    <s v="ORD00204"/>
    <d v="2025-11-08T00:00:00"/>
    <x v="2"/>
    <x v="4"/>
    <x v="2"/>
    <s v="Vision Corp"/>
    <x v="1"/>
    <s v="Office Chair"/>
    <n v="4"/>
    <n v="6000"/>
    <n v="15"/>
    <n v="20400"/>
    <n v="13980.66"/>
    <n v="6419.34"/>
    <s v="Card"/>
    <d v="2025-11-08T00:00:00"/>
  </r>
  <r>
    <s v="ORD00205"/>
    <d v="2025-08-05T00:00:00"/>
    <x v="3"/>
    <x v="3"/>
    <x v="5"/>
    <s v="ABC Pvt Ltd"/>
    <x v="2"/>
    <s v="Mouse"/>
    <n v="1"/>
    <n v="800"/>
    <n v="10"/>
    <n v="720"/>
    <n v="596.83000000000004"/>
    <n v="123.17"/>
    <s v="Net Banking"/>
    <d v="2025-08-05T00:00:00"/>
  </r>
  <r>
    <s v="ORD00206"/>
    <d v="2025-07-03T00:00:00"/>
    <x v="1"/>
    <x v="8"/>
    <x v="3"/>
    <s v="Vision Corp"/>
    <x v="2"/>
    <s v="Mouse"/>
    <n v="1"/>
    <n v="800"/>
    <n v="15"/>
    <n v="680"/>
    <n v="446.78"/>
    <n v="233.22"/>
    <s v="Net Banking"/>
    <d v="2025-07-03T00:00:00"/>
  </r>
  <r>
    <s v="ORD00207"/>
    <d v="2025-12-27T00:00:00"/>
    <x v="1"/>
    <x v="6"/>
    <x v="5"/>
    <s v="Global Mart"/>
    <x v="1"/>
    <s v="Office Chair"/>
    <n v="10"/>
    <n v="6000"/>
    <n v="15"/>
    <n v="51000"/>
    <n v="34178.85"/>
    <n v="16821.150000000001"/>
    <s v="Net Banking"/>
    <d v="2025-12-27T00:00:00"/>
  </r>
  <r>
    <s v="ORD00208"/>
    <d v="2025-05-05T00:00:00"/>
    <x v="2"/>
    <x v="4"/>
    <x v="3"/>
    <s v="Vision Corp"/>
    <x v="1"/>
    <s v="Office Chair"/>
    <n v="7"/>
    <n v="6000"/>
    <n v="10"/>
    <n v="37800"/>
    <n v="24888.44"/>
    <n v="12911.56"/>
    <s v="Net Banking"/>
    <d v="2025-05-05T00:00:00"/>
  </r>
  <r>
    <s v="ORD00209"/>
    <d v="2025-05-11T00:00:00"/>
    <x v="2"/>
    <x v="4"/>
    <x v="3"/>
    <s v="Tech Solutions"/>
    <x v="1"/>
    <s v="Office Chair"/>
    <n v="6"/>
    <n v="6000"/>
    <n v="10"/>
    <n v="32400"/>
    <n v="25442"/>
    <n v="6958"/>
    <s v="Card"/>
    <d v="2025-05-11T00:00:00"/>
  </r>
  <r>
    <s v="ORD00210"/>
    <d v="2025-03-13T00:00:00"/>
    <x v="1"/>
    <x v="8"/>
    <x v="4"/>
    <s v="Prime Stores"/>
    <x v="1"/>
    <s v="Office Chair"/>
    <n v="8"/>
    <n v="6000"/>
    <n v="10"/>
    <n v="43200"/>
    <n v="32975.379999999997"/>
    <n v="10224.620000000001"/>
    <s v="Cash"/>
    <d v="2025-03-13T00:00:00"/>
  </r>
  <r>
    <s v="ORD00211"/>
    <d v="2025-09-05T00:00:00"/>
    <x v="3"/>
    <x v="9"/>
    <x v="3"/>
    <s v="Prime Stores"/>
    <x v="0"/>
    <s v="Keyboard"/>
    <n v="1"/>
    <n v="1500"/>
    <n v="0"/>
    <n v="1500"/>
    <n v="1292.21"/>
    <n v="207.79"/>
    <s v="UPI"/>
    <d v="2025-09-05T00:00:00"/>
  </r>
  <r>
    <s v="ORD00212"/>
    <d v="2025-06-14T00:00:00"/>
    <x v="3"/>
    <x v="3"/>
    <x v="3"/>
    <s v="Vision Corp"/>
    <x v="0"/>
    <s v="Keyboard"/>
    <n v="4"/>
    <n v="1500"/>
    <n v="0"/>
    <n v="6000"/>
    <n v="4607.08"/>
    <n v="1392.92"/>
    <s v="Cash"/>
    <d v="2025-06-14T00:00:00"/>
  </r>
  <r>
    <s v="ORD00213"/>
    <d v="2025-04-05T00:00:00"/>
    <x v="1"/>
    <x v="1"/>
    <x v="0"/>
    <s v="Tech Solutions"/>
    <x v="2"/>
    <s v="Headset"/>
    <n v="8"/>
    <n v="2500"/>
    <n v="5"/>
    <n v="19000"/>
    <n v="14732.84"/>
    <n v="4267.16"/>
    <s v="Card"/>
    <d v="2025-04-05T00:00:00"/>
  </r>
  <r>
    <s v="ORD00214"/>
    <d v="2025-12-11T00:00:00"/>
    <x v="2"/>
    <x v="4"/>
    <x v="3"/>
    <s v="ABC Pvt Ltd"/>
    <x v="1"/>
    <s v="Desk"/>
    <n v="9"/>
    <n v="10000"/>
    <n v="0"/>
    <n v="90000"/>
    <n v="68955.13"/>
    <n v="21044.87"/>
    <s v="Cash"/>
    <d v="2025-12-11T00:00:00"/>
  </r>
  <r>
    <s v="ORD00215"/>
    <d v="2025-01-21T00:00:00"/>
    <x v="2"/>
    <x v="2"/>
    <x v="3"/>
    <s v="ABC Pvt Ltd"/>
    <x v="0"/>
    <s v="Keyboard"/>
    <n v="10"/>
    <n v="1500"/>
    <n v="0"/>
    <n v="15000"/>
    <n v="9974.5499999999993"/>
    <n v="5025.45"/>
    <s v="Card"/>
    <d v="2025-01-21T00:00:00"/>
  </r>
  <r>
    <s v="ORD00216"/>
    <d v="2025-01-19T00:00:00"/>
    <x v="1"/>
    <x v="6"/>
    <x v="5"/>
    <s v="Tech Solutions"/>
    <x v="0"/>
    <s v="Laptop"/>
    <n v="7"/>
    <n v="55000"/>
    <n v="15"/>
    <n v="327250"/>
    <n v="235161.60000000001"/>
    <n v="92088.4"/>
    <s v="Cash"/>
    <d v="2025-01-19T00:00:00"/>
  </r>
  <r>
    <s v="ORD00217"/>
    <d v="2025-03-12T00:00:00"/>
    <x v="3"/>
    <x v="9"/>
    <x v="0"/>
    <s v="Vision Corp"/>
    <x v="0"/>
    <s v="Monitor"/>
    <n v="5"/>
    <n v="12000"/>
    <n v="15"/>
    <n v="51000"/>
    <n v="38161.599999999999"/>
    <n v="12838.4"/>
    <s v="UPI"/>
    <d v="2025-03-12T00:00:00"/>
  </r>
  <r>
    <s v="ORD00218"/>
    <d v="2025-12-24T00:00:00"/>
    <x v="2"/>
    <x v="2"/>
    <x v="1"/>
    <s v="Tech Solutions"/>
    <x v="2"/>
    <s v="Headset"/>
    <n v="6"/>
    <n v="2500"/>
    <n v="10"/>
    <n v="13500"/>
    <n v="10758.76"/>
    <n v="2741.24"/>
    <s v="Net Banking"/>
    <d v="2025-12-24T00:00:00"/>
  </r>
  <r>
    <s v="ORD00219"/>
    <d v="2025-06-14T00:00:00"/>
    <x v="0"/>
    <x v="5"/>
    <x v="5"/>
    <s v="Vision Corp"/>
    <x v="0"/>
    <s v="Monitor"/>
    <n v="2"/>
    <n v="12000"/>
    <n v="5"/>
    <n v="22800"/>
    <n v="16526.29"/>
    <n v="6273.71"/>
    <s v="UPI"/>
    <d v="2025-06-14T00:00:00"/>
  </r>
  <r>
    <s v="ORD00220"/>
    <d v="2025-07-28T00:00:00"/>
    <x v="0"/>
    <x v="0"/>
    <x v="3"/>
    <s v="XYZ Ltd"/>
    <x v="0"/>
    <s v="Monitor"/>
    <n v="10"/>
    <n v="12000"/>
    <n v="5"/>
    <n v="114000"/>
    <n v="90350.69"/>
    <n v="23649.31"/>
    <s v="Net Banking"/>
    <d v="2025-07-28T00:00:00"/>
  </r>
  <r>
    <s v="ORD00221"/>
    <d v="2025-02-20T00:00:00"/>
    <x v="3"/>
    <x v="3"/>
    <x v="0"/>
    <s v="ABC Pvt Ltd"/>
    <x v="0"/>
    <s v="Monitor"/>
    <n v="6"/>
    <n v="12000"/>
    <n v="10"/>
    <n v="64800"/>
    <n v="48988.93"/>
    <n v="15811.07"/>
    <s v="Net Banking"/>
    <d v="2025-02-20T00:00:00"/>
  </r>
  <r>
    <s v="ORD00222"/>
    <d v="2025-07-25T00:00:00"/>
    <x v="2"/>
    <x v="2"/>
    <x v="5"/>
    <s v="Prime Stores"/>
    <x v="0"/>
    <s v="Laptop"/>
    <n v="7"/>
    <n v="55000"/>
    <n v="0"/>
    <n v="385000"/>
    <n v="336331.91"/>
    <n v="48668.09"/>
    <s v="Card"/>
    <d v="2025-07-25T00:00:00"/>
  </r>
  <r>
    <s v="ORD00223"/>
    <d v="2025-05-22T00:00:00"/>
    <x v="2"/>
    <x v="2"/>
    <x v="5"/>
    <s v="Vision Corp"/>
    <x v="0"/>
    <s v="Laptop"/>
    <n v="7"/>
    <n v="55000"/>
    <n v="0"/>
    <n v="385000"/>
    <n v="282499.12"/>
    <n v="102500.88"/>
    <s v="UPI"/>
    <d v="2025-05-22T00:00:00"/>
  </r>
  <r>
    <s v="ORD00224"/>
    <d v="2025-12-09T00:00:00"/>
    <x v="1"/>
    <x v="8"/>
    <x v="4"/>
    <s v="Tech Solutions"/>
    <x v="2"/>
    <s v="Headset"/>
    <n v="7"/>
    <n v="2500"/>
    <n v="15"/>
    <n v="14875"/>
    <n v="11565.6"/>
    <n v="3309.4"/>
    <s v="UPI"/>
    <d v="2025-12-09T00:00:00"/>
  </r>
  <r>
    <s v="ORD00225"/>
    <d v="2025-04-25T00:00:00"/>
    <x v="1"/>
    <x v="8"/>
    <x v="0"/>
    <s v="Tech Solutions"/>
    <x v="2"/>
    <s v="Headset"/>
    <n v="3"/>
    <n v="2500"/>
    <n v="5"/>
    <n v="7125"/>
    <n v="5217.5600000000004"/>
    <n v="1907.44"/>
    <s v="Card"/>
    <d v="2025-04-25T00:00:00"/>
  </r>
  <r>
    <s v="ORD00226"/>
    <d v="2025-02-23T00:00:00"/>
    <x v="3"/>
    <x v="7"/>
    <x v="1"/>
    <s v="Global Mart"/>
    <x v="1"/>
    <s v="Desk"/>
    <n v="9"/>
    <n v="10000"/>
    <n v="5"/>
    <n v="85500"/>
    <n v="58305.57"/>
    <n v="27194.43"/>
    <s v="UPI"/>
    <d v="2025-02-23T00:00:00"/>
  </r>
  <r>
    <s v="ORD00227"/>
    <d v="2025-01-29T00:00:00"/>
    <x v="1"/>
    <x v="8"/>
    <x v="3"/>
    <s v="ABC Pvt Ltd"/>
    <x v="0"/>
    <s v="Keyboard"/>
    <n v="2"/>
    <n v="1500"/>
    <n v="0"/>
    <n v="3000"/>
    <n v="2076.4899999999998"/>
    <n v="923.51"/>
    <s v="Card"/>
    <d v="2025-01-29T00:00:00"/>
  </r>
  <r>
    <s v="ORD00228"/>
    <d v="2025-06-21T00:00:00"/>
    <x v="0"/>
    <x v="5"/>
    <x v="3"/>
    <s v="XYZ Ltd"/>
    <x v="0"/>
    <s v="Keyboard"/>
    <n v="4"/>
    <n v="1500"/>
    <n v="15"/>
    <n v="5100"/>
    <n v="4231.3100000000004"/>
    <n v="868.69"/>
    <s v="UPI"/>
    <d v="2025-06-21T00:00:00"/>
  </r>
  <r>
    <s v="ORD00229"/>
    <d v="2025-02-22T00:00:00"/>
    <x v="1"/>
    <x v="1"/>
    <x v="0"/>
    <s v="Tech Solutions"/>
    <x v="1"/>
    <s v="Desk"/>
    <n v="4"/>
    <n v="10000"/>
    <n v="0"/>
    <n v="40000"/>
    <n v="29309.73"/>
    <n v="10690.27"/>
    <s v="Net Banking"/>
    <d v="2025-02-22T00:00:00"/>
  </r>
  <r>
    <s v="ORD00230"/>
    <d v="2025-12-05T00:00:00"/>
    <x v="2"/>
    <x v="2"/>
    <x v="3"/>
    <s v="Global Mart"/>
    <x v="1"/>
    <s v="Desk"/>
    <n v="8"/>
    <n v="10000"/>
    <n v="15"/>
    <n v="68000"/>
    <n v="52196.07"/>
    <n v="15803.93"/>
    <s v="Card"/>
    <d v="2025-12-05T00:00:00"/>
  </r>
  <r>
    <s v="ORD00231"/>
    <d v="2025-02-08T00:00:00"/>
    <x v="1"/>
    <x v="8"/>
    <x v="2"/>
    <s v="ABC Pvt Ltd"/>
    <x v="2"/>
    <s v="USB Drive"/>
    <n v="4"/>
    <n v="900"/>
    <n v="0"/>
    <n v="3600"/>
    <n v="2372.5700000000002"/>
    <n v="1227.43"/>
    <s v="UPI"/>
    <d v="2025-02-08T00:00:00"/>
  </r>
  <r>
    <s v="ORD00232"/>
    <d v="2025-04-18T00:00:00"/>
    <x v="2"/>
    <x v="2"/>
    <x v="0"/>
    <s v="Tech Solutions"/>
    <x v="1"/>
    <s v="Desk"/>
    <n v="1"/>
    <n v="10000"/>
    <n v="0"/>
    <n v="10000"/>
    <n v="6772.06"/>
    <n v="3227.94"/>
    <s v="UPI"/>
    <d v="2025-04-18T00:00:00"/>
  </r>
  <r>
    <s v="ORD00233"/>
    <d v="2025-02-09T00:00:00"/>
    <x v="3"/>
    <x v="3"/>
    <x v="1"/>
    <s v="Prime Stores"/>
    <x v="0"/>
    <s v="Monitor"/>
    <n v="3"/>
    <n v="12000"/>
    <n v="5"/>
    <n v="34200"/>
    <n v="25733.65"/>
    <n v="8466.35"/>
    <s v="UPI"/>
    <d v="2025-02-09T00:00:00"/>
  </r>
  <r>
    <s v="ORD00234"/>
    <d v="2025-06-11T00:00:00"/>
    <x v="0"/>
    <x v="0"/>
    <x v="1"/>
    <s v="Vision Corp"/>
    <x v="0"/>
    <s v="Monitor"/>
    <n v="10"/>
    <n v="12000"/>
    <n v="15"/>
    <n v="102000"/>
    <n v="85807.19"/>
    <n v="16192.81"/>
    <s v="Cash"/>
    <d v="2025-06-11T00:00:00"/>
  </r>
  <r>
    <s v="ORD00235"/>
    <d v="2025-01-30T00:00:00"/>
    <x v="3"/>
    <x v="3"/>
    <x v="5"/>
    <s v="XYZ Ltd"/>
    <x v="2"/>
    <s v="Headset"/>
    <n v="4"/>
    <n v="2500"/>
    <n v="0"/>
    <n v="10000"/>
    <n v="7571.84"/>
    <n v="2428.16"/>
    <s v="Cash"/>
    <d v="2025-01-30T00:00:00"/>
  </r>
  <r>
    <s v="ORD00236"/>
    <d v="2025-11-03T00:00:00"/>
    <x v="1"/>
    <x v="6"/>
    <x v="1"/>
    <s v="ABC Pvt Ltd"/>
    <x v="0"/>
    <s v="Laptop"/>
    <n v="8"/>
    <n v="55000"/>
    <n v="5"/>
    <n v="418000"/>
    <n v="357589.37"/>
    <n v="60410.63"/>
    <s v="Net Banking"/>
    <d v="2025-11-03T00:00:00"/>
  </r>
  <r>
    <s v="ORD00237"/>
    <d v="2025-03-02T00:00:00"/>
    <x v="3"/>
    <x v="3"/>
    <x v="5"/>
    <s v="ABC Pvt Ltd"/>
    <x v="2"/>
    <s v="Mouse"/>
    <n v="3"/>
    <n v="800"/>
    <n v="15"/>
    <n v="2040"/>
    <n v="1588.68"/>
    <n v="451.32"/>
    <s v="Card"/>
    <d v="2025-03-02T00:00:00"/>
  </r>
  <r>
    <s v="ORD00238"/>
    <d v="2025-08-04T00:00:00"/>
    <x v="1"/>
    <x v="8"/>
    <x v="1"/>
    <s v="Tech Solutions"/>
    <x v="2"/>
    <s v="USB Drive"/>
    <n v="4"/>
    <n v="900"/>
    <n v="10"/>
    <n v="3240"/>
    <n v="2473.83"/>
    <n v="766.17"/>
    <s v="Card"/>
    <d v="2025-08-04T00:00:00"/>
  </r>
  <r>
    <s v="ORD00239"/>
    <d v="2025-01-12T00:00:00"/>
    <x v="2"/>
    <x v="4"/>
    <x v="1"/>
    <s v="XYZ Ltd"/>
    <x v="2"/>
    <s v="USB Drive"/>
    <n v="10"/>
    <n v="900"/>
    <n v="15"/>
    <n v="7650"/>
    <n v="5372.48"/>
    <n v="2277.52"/>
    <s v="Card"/>
    <d v="2025-01-12T00:00:00"/>
  </r>
  <r>
    <s v="ORD00240"/>
    <d v="2025-03-27T00:00:00"/>
    <x v="0"/>
    <x v="0"/>
    <x v="3"/>
    <s v="ABC Pvt Ltd"/>
    <x v="1"/>
    <s v="Desk"/>
    <n v="10"/>
    <n v="10000"/>
    <n v="5"/>
    <n v="95000"/>
    <n v="70972"/>
    <n v="24028"/>
    <s v="Cash"/>
    <d v="2025-03-27T00:00:00"/>
  </r>
  <r>
    <s v="ORD00241"/>
    <d v="2025-12-27T00:00:00"/>
    <x v="2"/>
    <x v="4"/>
    <x v="2"/>
    <s v="ABC Pvt Ltd"/>
    <x v="1"/>
    <s v="Office Chair"/>
    <n v="6"/>
    <n v="6000"/>
    <n v="5"/>
    <n v="34200"/>
    <n v="24129.4"/>
    <n v="10070.6"/>
    <s v="Card"/>
    <d v="2025-12-27T00:00:00"/>
  </r>
  <r>
    <s v="ORD00242"/>
    <d v="2025-07-16T00:00:00"/>
    <x v="2"/>
    <x v="4"/>
    <x v="2"/>
    <s v="Global Mart"/>
    <x v="2"/>
    <s v="Headset"/>
    <n v="8"/>
    <n v="2500"/>
    <n v="10"/>
    <n v="18000"/>
    <n v="15146"/>
    <n v="2854"/>
    <s v="UPI"/>
    <d v="2025-07-16T00:00:00"/>
  </r>
  <r>
    <s v="ORD00243"/>
    <d v="2025-12-23T00:00:00"/>
    <x v="2"/>
    <x v="2"/>
    <x v="1"/>
    <s v="Tech Solutions"/>
    <x v="1"/>
    <s v="Desk"/>
    <n v="10"/>
    <n v="10000"/>
    <n v="15"/>
    <n v="85000"/>
    <n v="72913.69"/>
    <n v="12086.31"/>
    <s v="Cash"/>
    <d v="2025-12-23T00:00:00"/>
  </r>
  <r>
    <s v="ORD00244"/>
    <d v="2025-05-25T00:00:00"/>
    <x v="2"/>
    <x v="2"/>
    <x v="5"/>
    <s v="Global Mart"/>
    <x v="1"/>
    <s v="Office Chair"/>
    <n v="8"/>
    <n v="6000"/>
    <n v="15"/>
    <n v="40800"/>
    <n v="36122.050000000003"/>
    <n v="4677.95"/>
    <s v="Cash"/>
    <d v="2025-05-25T00:00:00"/>
  </r>
  <r>
    <s v="ORD00245"/>
    <d v="2025-04-23T00:00:00"/>
    <x v="2"/>
    <x v="4"/>
    <x v="5"/>
    <s v="Prime Stores"/>
    <x v="0"/>
    <s v="Monitor"/>
    <n v="3"/>
    <n v="12000"/>
    <n v="0"/>
    <n v="36000"/>
    <n v="24960.43"/>
    <n v="11039.57"/>
    <s v="Cash"/>
    <d v="2025-04-23T00:00:00"/>
  </r>
  <r>
    <s v="ORD00246"/>
    <d v="2025-03-12T00:00:00"/>
    <x v="3"/>
    <x v="3"/>
    <x v="3"/>
    <s v="ABC Pvt Ltd"/>
    <x v="0"/>
    <s v="Laptop"/>
    <n v="1"/>
    <n v="55000"/>
    <n v="0"/>
    <n v="55000"/>
    <n v="36319.53"/>
    <n v="18680.47"/>
    <s v="Net Banking"/>
    <d v="2025-03-12T00:00:00"/>
  </r>
  <r>
    <s v="ORD00247"/>
    <d v="2025-11-28T00:00:00"/>
    <x v="3"/>
    <x v="7"/>
    <x v="5"/>
    <s v="Tech Solutions"/>
    <x v="0"/>
    <s v="Laptop"/>
    <n v="6"/>
    <n v="55000"/>
    <n v="0"/>
    <n v="330000"/>
    <n v="224855.47"/>
    <n v="105144.53"/>
    <s v="Net Banking"/>
    <d v="2025-11-28T00:00:00"/>
  </r>
  <r>
    <s v="ORD00248"/>
    <d v="2025-10-06T00:00:00"/>
    <x v="2"/>
    <x v="4"/>
    <x v="1"/>
    <s v="Vision Corp"/>
    <x v="1"/>
    <s v="Office Chair"/>
    <n v="2"/>
    <n v="6000"/>
    <n v="5"/>
    <n v="11400"/>
    <n v="7587.73"/>
    <n v="3812.27"/>
    <s v="UPI"/>
    <d v="2025-10-06T00:00:00"/>
  </r>
  <r>
    <s v="ORD00249"/>
    <d v="2025-04-04T00:00:00"/>
    <x v="3"/>
    <x v="7"/>
    <x v="5"/>
    <s v="Prime Stores"/>
    <x v="1"/>
    <s v="Desk"/>
    <n v="3"/>
    <n v="10000"/>
    <n v="0"/>
    <n v="30000"/>
    <n v="20570.21"/>
    <n v="9429.7900000000009"/>
    <s v="Card"/>
    <d v="2025-04-04T00:00:00"/>
  </r>
  <r>
    <s v="ORD00250"/>
    <d v="2025-05-14T00:00:00"/>
    <x v="1"/>
    <x v="1"/>
    <x v="5"/>
    <s v="ABC Pvt Ltd"/>
    <x v="1"/>
    <s v="Desk"/>
    <n v="1"/>
    <n v="10000"/>
    <n v="5"/>
    <n v="9500"/>
    <n v="7011.46"/>
    <n v="2488.54"/>
    <s v="Cash"/>
    <d v="2025-05-14T00:00:00"/>
  </r>
  <r>
    <s v="ORD00251"/>
    <d v="2025-05-31T00:00:00"/>
    <x v="1"/>
    <x v="8"/>
    <x v="3"/>
    <s v="ABC Pvt Ltd"/>
    <x v="0"/>
    <s v="Monitor"/>
    <n v="2"/>
    <n v="12000"/>
    <n v="10"/>
    <n v="21600"/>
    <n v="17812.689999999999"/>
    <n v="3787.31"/>
    <s v="Card"/>
    <d v="2025-05-31T00:00:00"/>
  </r>
  <r>
    <s v="ORD00252"/>
    <d v="2025-05-28T00:00:00"/>
    <x v="3"/>
    <x v="7"/>
    <x v="2"/>
    <s v="Prime Stores"/>
    <x v="1"/>
    <s v="Office Chair"/>
    <n v="8"/>
    <n v="6000"/>
    <n v="5"/>
    <n v="45600"/>
    <n v="31213.5"/>
    <n v="14386.5"/>
    <s v="Cash"/>
    <d v="2025-05-28T00:00:00"/>
  </r>
  <r>
    <s v="ORD00253"/>
    <d v="2025-06-30T00:00:00"/>
    <x v="0"/>
    <x v="5"/>
    <x v="4"/>
    <s v="XYZ Ltd"/>
    <x v="1"/>
    <s v="Office Chair"/>
    <n v="6"/>
    <n v="6000"/>
    <n v="5"/>
    <n v="34200"/>
    <n v="25729.9"/>
    <n v="8470.1"/>
    <s v="UPI"/>
    <d v="2025-06-30T00:00:00"/>
  </r>
  <r>
    <s v="ORD00254"/>
    <d v="2025-03-15T00:00:00"/>
    <x v="1"/>
    <x v="6"/>
    <x v="4"/>
    <s v="Prime Stores"/>
    <x v="0"/>
    <s v="Monitor"/>
    <n v="5"/>
    <n v="12000"/>
    <n v="0"/>
    <n v="60000"/>
    <n v="43259.46"/>
    <n v="16740.54"/>
    <s v="Net Banking"/>
    <d v="2025-03-15T00:00:00"/>
  </r>
  <r>
    <s v="ORD00255"/>
    <d v="2025-02-03T00:00:00"/>
    <x v="1"/>
    <x v="1"/>
    <x v="2"/>
    <s v="XYZ Ltd"/>
    <x v="2"/>
    <s v="Mouse"/>
    <n v="9"/>
    <n v="800"/>
    <n v="0"/>
    <n v="7200"/>
    <n v="5112.6400000000003"/>
    <n v="2087.36"/>
    <s v="UPI"/>
    <d v="2025-02-03T00:00:00"/>
  </r>
  <r>
    <s v="ORD00256"/>
    <d v="2025-04-23T00:00:00"/>
    <x v="2"/>
    <x v="2"/>
    <x v="1"/>
    <s v="Global Mart"/>
    <x v="0"/>
    <s v="Keyboard"/>
    <n v="2"/>
    <n v="1500"/>
    <n v="5"/>
    <n v="2850"/>
    <n v="1942"/>
    <n v="908"/>
    <s v="Net Banking"/>
    <d v="2025-04-23T00:00:00"/>
  </r>
  <r>
    <s v="ORD00257"/>
    <d v="2025-08-31T00:00:00"/>
    <x v="1"/>
    <x v="1"/>
    <x v="0"/>
    <s v="Vision Corp"/>
    <x v="1"/>
    <s v="Office Chair"/>
    <n v="10"/>
    <n v="6000"/>
    <n v="5"/>
    <n v="57000"/>
    <n v="42727.95"/>
    <n v="14272.05"/>
    <s v="UPI"/>
    <d v="2025-08-31T00:00:00"/>
  </r>
  <r>
    <s v="ORD00258"/>
    <d v="2025-05-28T00:00:00"/>
    <x v="2"/>
    <x v="4"/>
    <x v="3"/>
    <s v="Tech Solutions"/>
    <x v="0"/>
    <s v="Monitor"/>
    <n v="1"/>
    <n v="12000"/>
    <n v="15"/>
    <n v="10200"/>
    <n v="6987.74"/>
    <n v="3212.26"/>
    <s v="Cash"/>
    <d v="2025-05-28T00:00:00"/>
  </r>
  <r>
    <s v="ORD00259"/>
    <d v="2025-08-29T00:00:00"/>
    <x v="3"/>
    <x v="3"/>
    <x v="1"/>
    <s v="Global Mart"/>
    <x v="1"/>
    <s v="Office Chair"/>
    <n v="4"/>
    <n v="6000"/>
    <n v="15"/>
    <n v="20400"/>
    <n v="17399.169999999998"/>
    <n v="3000.83"/>
    <s v="UPI"/>
    <d v="2025-08-29T00:00:00"/>
  </r>
  <r>
    <s v="ORD00260"/>
    <d v="2025-05-15T00:00:00"/>
    <x v="0"/>
    <x v="0"/>
    <x v="4"/>
    <s v="XYZ Ltd"/>
    <x v="1"/>
    <s v="Office Chair"/>
    <n v="10"/>
    <n v="6000"/>
    <n v="5"/>
    <n v="57000"/>
    <n v="44575.72"/>
    <n v="12424.28"/>
    <s v="Net Banking"/>
    <d v="2025-05-15T00:00:00"/>
  </r>
  <r>
    <s v="ORD00261"/>
    <d v="2025-08-13T00:00:00"/>
    <x v="3"/>
    <x v="3"/>
    <x v="4"/>
    <s v="XYZ Ltd"/>
    <x v="2"/>
    <s v="Headset"/>
    <n v="7"/>
    <n v="2500"/>
    <n v="10"/>
    <n v="15750"/>
    <n v="11698.38"/>
    <n v="4051.62"/>
    <s v="Cash"/>
    <d v="2025-08-13T00:00:00"/>
  </r>
  <r>
    <s v="ORD00262"/>
    <d v="2025-10-26T00:00:00"/>
    <x v="0"/>
    <x v="5"/>
    <x v="1"/>
    <s v="Global Mart"/>
    <x v="2"/>
    <s v="USB Drive"/>
    <n v="8"/>
    <n v="900"/>
    <n v="5"/>
    <n v="6840"/>
    <n v="4951.08"/>
    <n v="1888.92"/>
    <s v="UPI"/>
    <d v="2025-10-26T00:00:00"/>
  </r>
  <r>
    <s v="ORD00263"/>
    <d v="2025-07-25T00:00:00"/>
    <x v="0"/>
    <x v="5"/>
    <x v="4"/>
    <s v="Vision Corp"/>
    <x v="1"/>
    <s v="Office Chair"/>
    <n v="1"/>
    <n v="6000"/>
    <n v="0"/>
    <n v="6000"/>
    <n v="4092.28"/>
    <n v="1907.72"/>
    <s v="Cash"/>
    <d v="2025-07-25T00:00:00"/>
  </r>
  <r>
    <s v="ORD00264"/>
    <d v="2025-05-26T00:00:00"/>
    <x v="3"/>
    <x v="9"/>
    <x v="3"/>
    <s v="ABC Pvt Ltd"/>
    <x v="0"/>
    <s v="Keyboard"/>
    <n v="3"/>
    <n v="1500"/>
    <n v="15"/>
    <n v="3825"/>
    <n v="2976.36"/>
    <n v="848.64"/>
    <s v="Card"/>
    <d v="2025-05-26T00:00:00"/>
  </r>
  <r>
    <s v="ORD00265"/>
    <d v="2025-02-09T00:00:00"/>
    <x v="2"/>
    <x v="4"/>
    <x v="0"/>
    <s v="Tech Solutions"/>
    <x v="1"/>
    <s v="Desk"/>
    <n v="3"/>
    <n v="10000"/>
    <n v="15"/>
    <n v="25500"/>
    <n v="20531.13"/>
    <n v="4968.87"/>
    <s v="Card"/>
    <d v="2025-02-09T00:00:00"/>
  </r>
  <r>
    <s v="ORD00266"/>
    <d v="2025-05-04T00:00:00"/>
    <x v="0"/>
    <x v="0"/>
    <x v="3"/>
    <s v="XYZ Ltd"/>
    <x v="1"/>
    <s v="Desk"/>
    <n v="2"/>
    <n v="10000"/>
    <n v="15"/>
    <n v="17000"/>
    <n v="12660.52"/>
    <n v="4339.4799999999996"/>
    <s v="Cash"/>
    <d v="2025-05-04T00:00:00"/>
  </r>
  <r>
    <s v="ORD00267"/>
    <d v="2025-08-09T00:00:00"/>
    <x v="3"/>
    <x v="9"/>
    <x v="1"/>
    <s v="XYZ Ltd"/>
    <x v="2"/>
    <s v="Headset"/>
    <n v="4"/>
    <n v="2500"/>
    <n v="0"/>
    <n v="10000"/>
    <n v="7335.84"/>
    <n v="2664.16"/>
    <s v="Net Banking"/>
    <d v="2025-08-09T00:00:00"/>
  </r>
  <r>
    <s v="ORD00268"/>
    <d v="2025-12-20T00:00:00"/>
    <x v="1"/>
    <x v="1"/>
    <x v="5"/>
    <s v="Prime Stores"/>
    <x v="1"/>
    <s v="Office Chair"/>
    <n v="1"/>
    <n v="6000"/>
    <n v="10"/>
    <n v="5400"/>
    <n v="4229.4799999999996"/>
    <n v="1170.52"/>
    <s v="Card"/>
    <d v="2025-12-20T00:00:00"/>
  </r>
  <r>
    <s v="ORD00269"/>
    <d v="2025-01-03T00:00:00"/>
    <x v="1"/>
    <x v="1"/>
    <x v="3"/>
    <s v="XYZ Ltd"/>
    <x v="1"/>
    <s v="Office Chair"/>
    <n v="10"/>
    <n v="6000"/>
    <n v="5"/>
    <n v="57000"/>
    <n v="50955.78"/>
    <n v="6044.22"/>
    <s v="UPI"/>
    <d v="2025-01-03T00:00:00"/>
  </r>
  <r>
    <s v="ORD00270"/>
    <d v="2025-10-09T00:00:00"/>
    <x v="3"/>
    <x v="9"/>
    <x v="1"/>
    <s v="Prime Stores"/>
    <x v="1"/>
    <s v="Office Chair"/>
    <n v="2"/>
    <n v="6000"/>
    <n v="10"/>
    <n v="10800"/>
    <n v="7776.07"/>
    <n v="3023.93"/>
    <s v="Card"/>
    <d v="2025-10-09T00:00:00"/>
  </r>
  <r>
    <s v="ORD00271"/>
    <d v="2025-09-26T00:00:00"/>
    <x v="2"/>
    <x v="4"/>
    <x v="2"/>
    <s v="ABC Pvt Ltd"/>
    <x v="2"/>
    <s v="Headset"/>
    <n v="9"/>
    <n v="2500"/>
    <n v="0"/>
    <n v="22500"/>
    <n v="17542.080000000002"/>
    <n v="4957.92"/>
    <s v="Card"/>
    <d v="2025-09-26T00:00:00"/>
  </r>
  <r>
    <s v="ORD00272"/>
    <d v="2025-08-16T00:00:00"/>
    <x v="3"/>
    <x v="9"/>
    <x v="0"/>
    <s v="ABC Pvt Ltd"/>
    <x v="0"/>
    <s v="Keyboard"/>
    <n v="6"/>
    <n v="1500"/>
    <n v="5"/>
    <n v="8550"/>
    <n v="5757.28"/>
    <n v="2792.72"/>
    <s v="UPI"/>
    <d v="2025-08-16T00:00:00"/>
  </r>
  <r>
    <s v="ORD00273"/>
    <d v="2025-08-28T00:00:00"/>
    <x v="0"/>
    <x v="5"/>
    <x v="2"/>
    <s v="XYZ Ltd"/>
    <x v="0"/>
    <s v="Laptop"/>
    <n v="5"/>
    <n v="55000"/>
    <n v="10"/>
    <n v="247500"/>
    <n v="217769.36"/>
    <n v="29730.639999999999"/>
    <s v="Net Banking"/>
    <d v="2025-08-28T00:00:00"/>
  </r>
  <r>
    <s v="ORD00274"/>
    <d v="2025-07-19T00:00:00"/>
    <x v="1"/>
    <x v="1"/>
    <x v="5"/>
    <s v="Tech Solutions"/>
    <x v="1"/>
    <s v="Office Chair"/>
    <n v="6"/>
    <n v="6000"/>
    <n v="10"/>
    <n v="32400"/>
    <n v="28918.46"/>
    <n v="3481.54"/>
    <s v="UPI"/>
    <d v="2025-07-19T00:00:00"/>
  </r>
  <r>
    <s v="ORD00275"/>
    <d v="2025-03-17T00:00:00"/>
    <x v="1"/>
    <x v="1"/>
    <x v="4"/>
    <s v="Global Mart"/>
    <x v="0"/>
    <s v="Keyboard"/>
    <n v="5"/>
    <n v="1500"/>
    <n v="15"/>
    <n v="6375"/>
    <n v="5344.38"/>
    <n v="1030.6199999999999"/>
    <s v="Net Banking"/>
    <d v="2025-03-17T00:00:00"/>
  </r>
  <r>
    <s v="ORD00276"/>
    <d v="2025-07-19T00:00:00"/>
    <x v="3"/>
    <x v="7"/>
    <x v="4"/>
    <s v="Tech Solutions"/>
    <x v="1"/>
    <s v="Desk"/>
    <n v="6"/>
    <n v="10000"/>
    <n v="5"/>
    <n v="57000"/>
    <n v="47069.93"/>
    <n v="9930.07"/>
    <s v="Card"/>
    <d v="2025-07-19T00:00:00"/>
  </r>
  <r>
    <s v="ORD00277"/>
    <d v="2025-11-17T00:00:00"/>
    <x v="0"/>
    <x v="5"/>
    <x v="4"/>
    <s v="Vision Corp"/>
    <x v="1"/>
    <s v="Office Chair"/>
    <n v="6"/>
    <n v="6000"/>
    <n v="15"/>
    <n v="30600"/>
    <n v="25622.38"/>
    <n v="4977.62"/>
    <s v="Net Banking"/>
    <d v="2025-11-17T00:00:00"/>
  </r>
  <r>
    <s v="ORD00278"/>
    <d v="2025-12-01T00:00:00"/>
    <x v="0"/>
    <x v="0"/>
    <x v="0"/>
    <s v="Vision Corp"/>
    <x v="1"/>
    <s v="Office Chair"/>
    <n v="7"/>
    <n v="6000"/>
    <n v="5"/>
    <n v="39900"/>
    <n v="33612.94"/>
    <n v="6287.06"/>
    <s v="Net Banking"/>
    <d v="2025-12-01T00:00:00"/>
  </r>
  <r>
    <s v="ORD00279"/>
    <d v="2025-01-22T00:00:00"/>
    <x v="2"/>
    <x v="4"/>
    <x v="1"/>
    <s v="Tech Solutions"/>
    <x v="2"/>
    <s v="Mouse"/>
    <n v="4"/>
    <n v="800"/>
    <n v="10"/>
    <n v="2880"/>
    <n v="2074.5500000000002"/>
    <n v="805.45"/>
    <s v="Card"/>
    <d v="2025-01-22T00:00:00"/>
  </r>
  <r>
    <s v="ORD00280"/>
    <d v="2025-04-17T00:00:00"/>
    <x v="2"/>
    <x v="2"/>
    <x v="3"/>
    <s v="Vision Corp"/>
    <x v="2"/>
    <s v="USB Drive"/>
    <n v="6"/>
    <n v="900"/>
    <n v="10"/>
    <n v="4860"/>
    <n v="4361.1000000000004"/>
    <n v="498.9"/>
    <s v="Card"/>
    <d v="2025-04-17T00:00:00"/>
  </r>
  <r>
    <s v="ORD00281"/>
    <d v="2025-10-01T00:00:00"/>
    <x v="1"/>
    <x v="6"/>
    <x v="1"/>
    <s v="XYZ Ltd"/>
    <x v="1"/>
    <s v="Desk"/>
    <n v="2"/>
    <n v="10000"/>
    <n v="15"/>
    <n v="17000"/>
    <n v="14441.91"/>
    <n v="2558.09"/>
    <s v="UPI"/>
    <d v="2025-10-01T00:00:00"/>
  </r>
  <r>
    <s v="ORD00282"/>
    <d v="2025-09-03T00:00:00"/>
    <x v="0"/>
    <x v="5"/>
    <x v="3"/>
    <s v="ABC Pvt Ltd"/>
    <x v="2"/>
    <s v="Mouse"/>
    <n v="2"/>
    <n v="800"/>
    <n v="0"/>
    <n v="1600"/>
    <n v="1198.54"/>
    <n v="401.46"/>
    <s v="Cash"/>
    <d v="2025-09-03T00:00:00"/>
  </r>
  <r>
    <s v="ORD00283"/>
    <d v="2025-08-29T00:00:00"/>
    <x v="1"/>
    <x v="1"/>
    <x v="0"/>
    <s v="Tech Solutions"/>
    <x v="2"/>
    <s v="USB Drive"/>
    <n v="1"/>
    <n v="900"/>
    <n v="15"/>
    <n v="765"/>
    <n v="520.58000000000004"/>
    <n v="244.42"/>
    <s v="UPI"/>
    <d v="2025-08-29T00:00:00"/>
  </r>
  <r>
    <s v="ORD00284"/>
    <d v="2025-10-24T00:00:00"/>
    <x v="1"/>
    <x v="1"/>
    <x v="0"/>
    <s v="Prime Stores"/>
    <x v="0"/>
    <s v="Keyboard"/>
    <n v="10"/>
    <n v="1500"/>
    <n v="0"/>
    <n v="15000"/>
    <n v="10592.31"/>
    <n v="4407.6899999999996"/>
    <s v="Net Banking"/>
    <d v="2025-10-24T00:00:00"/>
  </r>
  <r>
    <s v="ORD00285"/>
    <d v="2025-01-21T00:00:00"/>
    <x v="2"/>
    <x v="4"/>
    <x v="4"/>
    <s v="ABC Pvt Ltd"/>
    <x v="2"/>
    <s v="USB Drive"/>
    <n v="7"/>
    <n v="900"/>
    <n v="0"/>
    <n v="6300"/>
    <n v="5324.98"/>
    <n v="975.02"/>
    <s v="Cash"/>
    <d v="2025-01-21T00:00:00"/>
  </r>
  <r>
    <s v="ORD00286"/>
    <d v="2025-12-10T00:00:00"/>
    <x v="0"/>
    <x v="5"/>
    <x v="3"/>
    <s v="Global Mart"/>
    <x v="0"/>
    <s v="Laptop"/>
    <n v="10"/>
    <n v="55000"/>
    <n v="10"/>
    <n v="495000"/>
    <n v="399656.62"/>
    <n v="95343.38"/>
    <s v="UPI"/>
    <d v="2025-12-10T00:00:00"/>
  </r>
  <r>
    <s v="ORD00287"/>
    <d v="2025-03-28T00:00:00"/>
    <x v="2"/>
    <x v="4"/>
    <x v="0"/>
    <s v="Prime Stores"/>
    <x v="1"/>
    <s v="Desk"/>
    <n v="2"/>
    <n v="10000"/>
    <n v="0"/>
    <n v="20000"/>
    <n v="16598.54"/>
    <n v="3401.46"/>
    <s v="UPI"/>
    <d v="2025-03-28T00:00:00"/>
  </r>
  <r>
    <s v="ORD00288"/>
    <d v="2025-04-15T00:00:00"/>
    <x v="3"/>
    <x v="9"/>
    <x v="2"/>
    <s v="Global Mart"/>
    <x v="1"/>
    <s v="Office Chair"/>
    <n v="5"/>
    <n v="6000"/>
    <n v="10"/>
    <n v="27000"/>
    <n v="18837.57"/>
    <n v="8162.43"/>
    <s v="Card"/>
    <d v="2025-04-15T00:00:00"/>
  </r>
  <r>
    <s v="ORD00289"/>
    <d v="2025-12-30T00:00:00"/>
    <x v="0"/>
    <x v="5"/>
    <x v="4"/>
    <s v="Global Mart"/>
    <x v="0"/>
    <s v="Laptop"/>
    <n v="2"/>
    <n v="55000"/>
    <n v="15"/>
    <n v="93500"/>
    <n v="61654.01"/>
    <n v="31845.99"/>
    <s v="Cash"/>
    <d v="2025-12-30T00:00:00"/>
  </r>
  <r>
    <s v="ORD00290"/>
    <d v="2025-05-08T00:00:00"/>
    <x v="1"/>
    <x v="8"/>
    <x v="2"/>
    <s v="Global Mart"/>
    <x v="0"/>
    <s v="Monitor"/>
    <n v="7"/>
    <n v="12000"/>
    <n v="0"/>
    <n v="84000"/>
    <n v="71934.789999999994"/>
    <n v="12065.21"/>
    <s v="UPI"/>
    <d v="2025-05-08T00:00:00"/>
  </r>
  <r>
    <s v="ORD00291"/>
    <d v="2025-06-29T00:00:00"/>
    <x v="3"/>
    <x v="7"/>
    <x v="0"/>
    <s v="Vision Corp"/>
    <x v="1"/>
    <s v="Office Chair"/>
    <n v="2"/>
    <n v="6000"/>
    <n v="0"/>
    <n v="12000"/>
    <n v="10168.01"/>
    <n v="1831.99"/>
    <s v="Net Banking"/>
    <d v="2025-06-29T00:00:00"/>
  </r>
  <r>
    <s v="ORD00292"/>
    <d v="2025-06-27T00:00:00"/>
    <x v="0"/>
    <x v="5"/>
    <x v="5"/>
    <s v="Prime Stores"/>
    <x v="2"/>
    <s v="USB Drive"/>
    <n v="7"/>
    <n v="900"/>
    <n v="0"/>
    <n v="6300"/>
    <n v="4227.2"/>
    <n v="2072.8000000000002"/>
    <s v="Card"/>
    <d v="2025-06-27T00:00:00"/>
  </r>
  <r>
    <s v="ORD00293"/>
    <d v="2025-09-21T00:00:00"/>
    <x v="2"/>
    <x v="2"/>
    <x v="4"/>
    <s v="Prime Stores"/>
    <x v="2"/>
    <s v="Headset"/>
    <n v="10"/>
    <n v="2500"/>
    <n v="0"/>
    <n v="25000"/>
    <n v="18461.53"/>
    <n v="6538.47"/>
    <s v="UPI"/>
    <d v="2025-09-21T00:00:00"/>
  </r>
  <r>
    <s v="ORD00294"/>
    <d v="2025-04-18T00:00:00"/>
    <x v="2"/>
    <x v="2"/>
    <x v="2"/>
    <s v="Tech Solutions"/>
    <x v="1"/>
    <s v="Office Chair"/>
    <n v="9"/>
    <n v="6000"/>
    <n v="0"/>
    <n v="54000"/>
    <n v="47752.45"/>
    <n v="6247.55"/>
    <s v="UPI"/>
    <d v="2025-04-18T00:00:00"/>
  </r>
  <r>
    <s v="ORD00295"/>
    <d v="2025-12-29T00:00:00"/>
    <x v="2"/>
    <x v="4"/>
    <x v="4"/>
    <s v="ABC Pvt Ltd"/>
    <x v="2"/>
    <s v="Headset"/>
    <n v="3"/>
    <n v="2500"/>
    <n v="10"/>
    <n v="6750"/>
    <n v="6064.47"/>
    <n v="685.53"/>
    <s v="Net Banking"/>
    <d v="2025-12-29T00:00:00"/>
  </r>
  <r>
    <s v="ORD00296"/>
    <d v="2025-03-31T00:00:00"/>
    <x v="2"/>
    <x v="2"/>
    <x v="0"/>
    <s v="Global Mart"/>
    <x v="0"/>
    <s v="Monitor"/>
    <n v="1"/>
    <n v="12000"/>
    <n v="10"/>
    <n v="10800"/>
    <n v="7095.68"/>
    <n v="3704.32"/>
    <s v="Net Banking"/>
    <d v="2025-03-31T00:00:00"/>
  </r>
  <r>
    <s v="ORD00297"/>
    <d v="2025-10-06T00:00:00"/>
    <x v="2"/>
    <x v="4"/>
    <x v="3"/>
    <s v="XYZ Ltd"/>
    <x v="2"/>
    <s v="Headset"/>
    <n v="5"/>
    <n v="2500"/>
    <n v="10"/>
    <n v="11250"/>
    <n v="9563.9599999999991"/>
    <n v="1686.04"/>
    <s v="Net Banking"/>
    <d v="2025-10-06T00:00:00"/>
  </r>
  <r>
    <s v="ORD00298"/>
    <d v="2025-04-26T00:00:00"/>
    <x v="0"/>
    <x v="5"/>
    <x v="4"/>
    <s v="XYZ Ltd"/>
    <x v="1"/>
    <s v="Desk"/>
    <n v="10"/>
    <n v="10000"/>
    <n v="15"/>
    <n v="85000"/>
    <n v="75888.3"/>
    <n v="9111.7000000000007"/>
    <s v="Net Banking"/>
    <d v="2025-04-26T00:00:00"/>
  </r>
  <r>
    <s v="ORD00299"/>
    <d v="2025-03-25T00:00:00"/>
    <x v="3"/>
    <x v="3"/>
    <x v="0"/>
    <s v="XYZ Ltd"/>
    <x v="0"/>
    <s v="Monitor"/>
    <n v="10"/>
    <n v="12000"/>
    <n v="10"/>
    <n v="108000"/>
    <n v="80290.81"/>
    <n v="27709.19"/>
    <s v="Net Banking"/>
    <d v="2025-03-25T00:00:00"/>
  </r>
  <r>
    <s v="ORD00300"/>
    <d v="2025-09-24T00:00:00"/>
    <x v="0"/>
    <x v="0"/>
    <x v="1"/>
    <s v="ABC Pvt Ltd"/>
    <x v="0"/>
    <s v="Monitor"/>
    <n v="1"/>
    <n v="12000"/>
    <n v="15"/>
    <n v="10200"/>
    <n v="8761.7099999999991"/>
    <n v="1438.29"/>
    <s v="Cash"/>
    <d v="2025-09-24T00:00:00"/>
  </r>
  <r>
    <s v="ORD00301"/>
    <d v="2025-11-16T00:00:00"/>
    <x v="3"/>
    <x v="7"/>
    <x v="3"/>
    <s v="Tech Solutions"/>
    <x v="2"/>
    <s v="USB Drive"/>
    <n v="1"/>
    <n v="900"/>
    <n v="10"/>
    <n v="810"/>
    <n v="612.66999999999996"/>
    <n v="197.33"/>
    <s v="Cash"/>
    <d v="2025-11-16T00:00:00"/>
  </r>
  <r>
    <s v="ORD00302"/>
    <d v="2025-02-22T00:00:00"/>
    <x v="3"/>
    <x v="9"/>
    <x v="4"/>
    <s v="XYZ Ltd"/>
    <x v="2"/>
    <s v="Headset"/>
    <n v="10"/>
    <n v="2500"/>
    <n v="5"/>
    <n v="23750"/>
    <n v="20608.98"/>
    <n v="3141.02"/>
    <s v="UPI"/>
    <d v="2025-02-22T00:00:00"/>
  </r>
  <r>
    <s v="ORD00303"/>
    <d v="2025-08-09T00:00:00"/>
    <x v="2"/>
    <x v="2"/>
    <x v="5"/>
    <s v="Global Mart"/>
    <x v="0"/>
    <s v="Monitor"/>
    <n v="5"/>
    <n v="12000"/>
    <n v="0"/>
    <n v="60000"/>
    <n v="53507.59"/>
    <n v="6492.41"/>
    <s v="Net Banking"/>
    <d v="2025-08-09T00:00:00"/>
  </r>
  <r>
    <s v="ORD00304"/>
    <d v="2025-08-03T00:00:00"/>
    <x v="2"/>
    <x v="2"/>
    <x v="4"/>
    <s v="Prime Stores"/>
    <x v="1"/>
    <s v="Desk"/>
    <n v="1"/>
    <n v="10000"/>
    <n v="15"/>
    <n v="8500"/>
    <n v="6862.11"/>
    <n v="1637.89"/>
    <s v="UPI"/>
    <d v="2025-08-03T00:00:00"/>
  </r>
  <r>
    <s v="ORD00305"/>
    <d v="2025-07-09T00:00:00"/>
    <x v="2"/>
    <x v="4"/>
    <x v="0"/>
    <s v="Global Mart"/>
    <x v="1"/>
    <s v="Desk"/>
    <n v="5"/>
    <n v="10000"/>
    <n v="0"/>
    <n v="50000"/>
    <n v="36412.559999999998"/>
    <n v="13587.44"/>
    <s v="Card"/>
    <d v="2025-07-09T00:00:00"/>
  </r>
  <r>
    <s v="ORD00306"/>
    <d v="2025-09-10T00:00:00"/>
    <x v="3"/>
    <x v="3"/>
    <x v="0"/>
    <s v="ABC Pvt Ltd"/>
    <x v="1"/>
    <s v="Desk"/>
    <n v="6"/>
    <n v="10000"/>
    <n v="0"/>
    <n v="60000"/>
    <n v="39481.870000000003"/>
    <n v="20518.13"/>
    <s v="Cash"/>
    <d v="2025-09-10T00:00:00"/>
  </r>
  <r>
    <s v="ORD00307"/>
    <d v="2025-12-07T00:00:00"/>
    <x v="0"/>
    <x v="5"/>
    <x v="3"/>
    <s v="XYZ Ltd"/>
    <x v="2"/>
    <s v="USB Drive"/>
    <n v="2"/>
    <n v="900"/>
    <n v="10"/>
    <n v="1620"/>
    <n v="1400.81"/>
    <n v="219.19"/>
    <s v="Card"/>
    <d v="2025-12-07T00:00:00"/>
  </r>
  <r>
    <s v="ORD00308"/>
    <d v="2025-06-24T00:00:00"/>
    <x v="0"/>
    <x v="0"/>
    <x v="3"/>
    <s v="Vision Corp"/>
    <x v="1"/>
    <s v="Office Chair"/>
    <n v="10"/>
    <n v="6000"/>
    <n v="10"/>
    <n v="54000"/>
    <n v="39498.879999999997"/>
    <n v="14501.12"/>
    <s v="Cash"/>
    <d v="2025-06-24T00:00:00"/>
  </r>
  <r>
    <s v="ORD00309"/>
    <d v="2025-04-28T00:00:00"/>
    <x v="1"/>
    <x v="1"/>
    <x v="1"/>
    <s v="Vision Corp"/>
    <x v="0"/>
    <s v="Keyboard"/>
    <n v="2"/>
    <n v="1500"/>
    <n v="0"/>
    <n v="3000"/>
    <n v="2400.91"/>
    <n v="599.09"/>
    <s v="Cash"/>
    <d v="2025-04-28T00:00:00"/>
  </r>
  <r>
    <s v="ORD00310"/>
    <d v="2025-05-26T00:00:00"/>
    <x v="0"/>
    <x v="0"/>
    <x v="3"/>
    <s v="Tech Solutions"/>
    <x v="1"/>
    <s v="Desk"/>
    <n v="9"/>
    <n v="10000"/>
    <n v="15"/>
    <n v="76500"/>
    <n v="66539.899999999994"/>
    <n v="9960.1"/>
    <s v="UPI"/>
    <d v="2025-05-26T00:00:00"/>
  </r>
  <r>
    <s v="ORD00311"/>
    <d v="2025-04-22T00:00:00"/>
    <x v="0"/>
    <x v="0"/>
    <x v="3"/>
    <s v="Vision Corp"/>
    <x v="1"/>
    <s v="Desk"/>
    <n v="2"/>
    <n v="10000"/>
    <n v="10"/>
    <n v="18000"/>
    <n v="14912.48"/>
    <n v="3087.52"/>
    <s v="Cash"/>
    <d v="2025-04-22T00:00:00"/>
  </r>
  <r>
    <s v="ORD00312"/>
    <d v="2025-05-02T00:00:00"/>
    <x v="3"/>
    <x v="9"/>
    <x v="1"/>
    <s v="Global Mart"/>
    <x v="2"/>
    <s v="Headset"/>
    <n v="3"/>
    <n v="2500"/>
    <n v="5"/>
    <n v="7125"/>
    <n v="5376.08"/>
    <n v="1748.92"/>
    <s v="Net Banking"/>
    <d v="2025-05-02T00:00:00"/>
  </r>
  <r>
    <s v="ORD00313"/>
    <d v="2025-06-28T00:00:00"/>
    <x v="3"/>
    <x v="9"/>
    <x v="4"/>
    <s v="Tech Solutions"/>
    <x v="2"/>
    <s v="Mouse"/>
    <n v="8"/>
    <n v="800"/>
    <n v="5"/>
    <n v="6080"/>
    <n v="5152.6000000000004"/>
    <n v="927.4"/>
    <s v="Card"/>
    <d v="2025-06-28T00:00:00"/>
  </r>
  <r>
    <s v="ORD00314"/>
    <d v="2025-01-17T00:00:00"/>
    <x v="0"/>
    <x v="5"/>
    <x v="1"/>
    <s v="Prime Stores"/>
    <x v="2"/>
    <s v="Headset"/>
    <n v="2"/>
    <n v="2500"/>
    <n v="15"/>
    <n v="4250"/>
    <n v="3679.45"/>
    <n v="570.54999999999995"/>
    <s v="Card"/>
    <d v="2025-01-17T00:00:00"/>
  </r>
  <r>
    <s v="ORD00315"/>
    <d v="2025-05-07T00:00:00"/>
    <x v="0"/>
    <x v="5"/>
    <x v="1"/>
    <s v="ABC Pvt Ltd"/>
    <x v="0"/>
    <s v="Keyboard"/>
    <n v="3"/>
    <n v="1500"/>
    <n v="5"/>
    <n v="4275"/>
    <n v="3458.77"/>
    <n v="816.23"/>
    <s v="UPI"/>
    <d v="2025-05-07T00:00:00"/>
  </r>
  <r>
    <s v="ORD00316"/>
    <d v="2025-04-09T00:00:00"/>
    <x v="0"/>
    <x v="0"/>
    <x v="2"/>
    <s v="Prime Stores"/>
    <x v="1"/>
    <s v="Desk"/>
    <n v="7"/>
    <n v="10000"/>
    <n v="15"/>
    <n v="59500"/>
    <n v="45558.15"/>
    <n v="13941.85"/>
    <s v="Net Banking"/>
    <d v="2025-04-09T00:00:00"/>
  </r>
  <r>
    <s v="ORD00317"/>
    <d v="2025-10-23T00:00:00"/>
    <x v="1"/>
    <x v="6"/>
    <x v="2"/>
    <s v="Prime Stores"/>
    <x v="2"/>
    <s v="Mouse"/>
    <n v="4"/>
    <n v="800"/>
    <n v="5"/>
    <n v="3040"/>
    <n v="2724.62"/>
    <n v="315.38"/>
    <s v="Net Banking"/>
    <d v="2025-10-23T00:00:00"/>
  </r>
  <r>
    <s v="ORD00318"/>
    <d v="2025-05-23T00:00:00"/>
    <x v="2"/>
    <x v="2"/>
    <x v="2"/>
    <s v="ABC Pvt Ltd"/>
    <x v="2"/>
    <s v="Headset"/>
    <n v="1"/>
    <n v="2500"/>
    <n v="15"/>
    <n v="2125"/>
    <n v="1479.25"/>
    <n v="645.75"/>
    <s v="UPI"/>
    <d v="2025-05-23T00:00:00"/>
  </r>
  <r>
    <s v="ORD00319"/>
    <d v="2025-11-06T00:00:00"/>
    <x v="1"/>
    <x v="1"/>
    <x v="1"/>
    <s v="XYZ Ltd"/>
    <x v="0"/>
    <s v="Keyboard"/>
    <n v="5"/>
    <n v="1500"/>
    <n v="5"/>
    <n v="7125"/>
    <n v="4846.8"/>
    <n v="2278.1999999999998"/>
    <s v="UPI"/>
    <d v="2025-11-06T00:00:00"/>
  </r>
  <r>
    <s v="ORD00320"/>
    <d v="2025-12-07T00:00:00"/>
    <x v="1"/>
    <x v="8"/>
    <x v="2"/>
    <s v="Vision Corp"/>
    <x v="2"/>
    <s v="USB Drive"/>
    <n v="7"/>
    <n v="900"/>
    <n v="5"/>
    <n v="5985"/>
    <n v="4267.18"/>
    <n v="1717.82"/>
    <s v="Net Banking"/>
    <d v="2025-12-07T00:00:00"/>
  </r>
  <r>
    <s v="ORD00321"/>
    <d v="2025-07-04T00:00:00"/>
    <x v="2"/>
    <x v="2"/>
    <x v="0"/>
    <s v="XYZ Ltd"/>
    <x v="1"/>
    <s v="Office Chair"/>
    <n v="8"/>
    <n v="6000"/>
    <n v="15"/>
    <n v="40800"/>
    <n v="26649.360000000001"/>
    <n v="14150.64"/>
    <s v="Net Banking"/>
    <d v="2025-07-04T00:00:00"/>
  </r>
  <r>
    <s v="ORD00322"/>
    <d v="2025-01-12T00:00:00"/>
    <x v="3"/>
    <x v="7"/>
    <x v="2"/>
    <s v="Prime Stores"/>
    <x v="1"/>
    <s v="Desk"/>
    <n v="1"/>
    <n v="10000"/>
    <n v="15"/>
    <n v="8500"/>
    <n v="6271.95"/>
    <n v="2228.0500000000002"/>
    <s v="UPI"/>
    <d v="2025-01-12T00:00:00"/>
  </r>
  <r>
    <s v="ORD00323"/>
    <d v="2025-07-03T00:00:00"/>
    <x v="1"/>
    <x v="6"/>
    <x v="0"/>
    <s v="Tech Solutions"/>
    <x v="2"/>
    <s v="USB Drive"/>
    <n v="1"/>
    <n v="900"/>
    <n v="5"/>
    <n v="855"/>
    <n v="760.81"/>
    <n v="94.19"/>
    <s v="UPI"/>
    <d v="2025-07-03T00:00:00"/>
  </r>
  <r>
    <s v="ORD00324"/>
    <d v="2025-03-10T00:00:00"/>
    <x v="0"/>
    <x v="5"/>
    <x v="4"/>
    <s v="Tech Solutions"/>
    <x v="1"/>
    <s v="Office Chair"/>
    <n v="6"/>
    <n v="6000"/>
    <n v="10"/>
    <n v="32400"/>
    <n v="22407.7"/>
    <n v="9992.2999999999993"/>
    <s v="Net Banking"/>
    <d v="2025-03-10T00:00:00"/>
  </r>
  <r>
    <s v="ORD00325"/>
    <d v="2025-06-09T00:00:00"/>
    <x v="3"/>
    <x v="3"/>
    <x v="0"/>
    <s v="Prime Stores"/>
    <x v="2"/>
    <s v="Mouse"/>
    <n v="1"/>
    <n v="800"/>
    <n v="0"/>
    <n v="800"/>
    <n v="569.20000000000005"/>
    <n v="230.8"/>
    <s v="Net Banking"/>
    <d v="2025-06-09T00:00:00"/>
  </r>
  <r>
    <s v="ORD00326"/>
    <d v="2025-02-16T00:00:00"/>
    <x v="2"/>
    <x v="4"/>
    <x v="1"/>
    <s v="XYZ Ltd"/>
    <x v="0"/>
    <s v="Laptop"/>
    <n v="1"/>
    <n v="55000"/>
    <n v="5"/>
    <n v="52250"/>
    <n v="38928.83"/>
    <n v="13321.17"/>
    <s v="UPI"/>
    <d v="2025-02-16T00:00:00"/>
  </r>
  <r>
    <s v="ORD00327"/>
    <d v="2025-08-09T00:00:00"/>
    <x v="2"/>
    <x v="4"/>
    <x v="3"/>
    <s v="Prime Stores"/>
    <x v="1"/>
    <s v="Desk"/>
    <n v="2"/>
    <n v="10000"/>
    <n v="15"/>
    <n v="17000"/>
    <n v="11110.8"/>
    <n v="5889.2"/>
    <s v="Cash"/>
    <d v="2025-08-09T00:00:00"/>
  </r>
  <r>
    <s v="ORD00328"/>
    <d v="2025-02-19T00:00:00"/>
    <x v="3"/>
    <x v="7"/>
    <x v="1"/>
    <s v="Prime Stores"/>
    <x v="2"/>
    <s v="Mouse"/>
    <n v="1"/>
    <n v="800"/>
    <n v="10"/>
    <n v="720"/>
    <n v="496.77"/>
    <n v="223.23"/>
    <s v="Cash"/>
    <d v="2025-02-19T00:00:00"/>
  </r>
  <r>
    <s v="ORD00329"/>
    <d v="2025-09-21T00:00:00"/>
    <x v="1"/>
    <x v="1"/>
    <x v="4"/>
    <s v="ABC Pvt Ltd"/>
    <x v="2"/>
    <s v="Headset"/>
    <n v="4"/>
    <n v="2500"/>
    <n v="15"/>
    <n v="8500"/>
    <n v="6506.15"/>
    <n v="1993.85"/>
    <s v="UPI"/>
    <d v="2025-09-21T00:00:00"/>
  </r>
  <r>
    <s v="ORD00330"/>
    <d v="2025-03-21T00:00:00"/>
    <x v="3"/>
    <x v="9"/>
    <x v="5"/>
    <s v="Tech Solutions"/>
    <x v="0"/>
    <s v="Keyboard"/>
    <n v="7"/>
    <n v="1500"/>
    <n v="10"/>
    <n v="9450"/>
    <n v="8386.07"/>
    <n v="1063.93"/>
    <s v="Cash"/>
    <d v="2025-03-21T00:00:00"/>
  </r>
  <r>
    <s v="ORD00331"/>
    <d v="2025-03-09T00:00:00"/>
    <x v="3"/>
    <x v="7"/>
    <x v="5"/>
    <s v="Tech Solutions"/>
    <x v="1"/>
    <s v="Desk"/>
    <n v="4"/>
    <n v="10000"/>
    <n v="0"/>
    <n v="40000"/>
    <n v="31386.54"/>
    <n v="8613.4599999999991"/>
    <s v="Card"/>
    <d v="2025-03-09T00:00:00"/>
  </r>
  <r>
    <s v="ORD00332"/>
    <d v="2025-08-26T00:00:00"/>
    <x v="3"/>
    <x v="7"/>
    <x v="0"/>
    <s v="ABC Pvt Ltd"/>
    <x v="2"/>
    <s v="USB Drive"/>
    <n v="2"/>
    <n v="900"/>
    <n v="10"/>
    <n v="1620"/>
    <n v="1069.1500000000001"/>
    <n v="550.85"/>
    <s v="UPI"/>
    <d v="2025-08-26T00:00:00"/>
  </r>
  <r>
    <s v="ORD00333"/>
    <d v="2025-05-23T00:00:00"/>
    <x v="3"/>
    <x v="7"/>
    <x v="2"/>
    <s v="Vision Corp"/>
    <x v="2"/>
    <s v="Headset"/>
    <n v="7"/>
    <n v="2500"/>
    <n v="0"/>
    <n v="17500"/>
    <n v="14501.15"/>
    <n v="2998.85"/>
    <s v="Cash"/>
    <d v="2025-05-23T00:00:00"/>
  </r>
  <r>
    <s v="ORD00334"/>
    <d v="2025-04-17T00:00:00"/>
    <x v="0"/>
    <x v="5"/>
    <x v="3"/>
    <s v="Prime Stores"/>
    <x v="1"/>
    <s v="Office Chair"/>
    <n v="4"/>
    <n v="6000"/>
    <n v="5"/>
    <n v="22800"/>
    <n v="19128.810000000001"/>
    <n v="3671.19"/>
    <s v="Net Banking"/>
    <d v="2025-04-17T00:00:00"/>
  </r>
  <r>
    <s v="ORD00335"/>
    <d v="2025-02-18T00:00:00"/>
    <x v="0"/>
    <x v="0"/>
    <x v="1"/>
    <s v="Vision Corp"/>
    <x v="2"/>
    <s v="Mouse"/>
    <n v="4"/>
    <n v="800"/>
    <n v="0"/>
    <n v="3200"/>
    <n v="2182.44"/>
    <n v="1017.56"/>
    <s v="Net Banking"/>
    <d v="2025-02-18T00:00:00"/>
  </r>
  <r>
    <s v="ORD00336"/>
    <d v="2025-06-10T00:00:00"/>
    <x v="2"/>
    <x v="4"/>
    <x v="4"/>
    <s v="Prime Stores"/>
    <x v="2"/>
    <s v="Headset"/>
    <n v="3"/>
    <n v="2500"/>
    <n v="15"/>
    <n v="6375"/>
    <n v="5533.06"/>
    <n v="841.94"/>
    <s v="Card"/>
    <d v="2025-06-10T00:00:00"/>
  </r>
  <r>
    <s v="ORD00337"/>
    <d v="2025-11-02T00:00:00"/>
    <x v="2"/>
    <x v="4"/>
    <x v="2"/>
    <s v="Vision Corp"/>
    <x v="1"/>
    <s v="Desk"/>
    <n v="5"/>
    <n v="10000"/>
    <n v="5"/>
    <n v="47500"/>
    <n v="40031.480000000003"/>
    <n v="7468.52"/>
    <s v="Cash"/>
    <d v="2025-11-02T00:00:00"/>
  </r>
  <r>
    <s v="ORD00338"/>
    <d v="2025-10-08T00:00:00"/>
    <x v="0"/>
    <x v="5"/>
    <x v="1"/>
    <s v="ABC Pvt Ltd"/>
    <x v="0"/>
    <s v="Monitor"/>
    <n v="10"/>
    <n v="12000"/>
    <n v="10"/>
    <n v="108000"/>
    <n v="78116.990000000005"/>
    <n v="29883.01"/>
    <s v="Cash"/>
    <d v="2025-10-08T00:00:00"/>
  </r>
  <r>
    <s v="ORD00339"/>
    <d v="2025-11-10T00:00:00"/>
    <x v="3"/>
    <x v="7"/>
    <x v="4"/>
    <s v="Prime Stores"/>
    <x v="1"/>
    <s v="Office Chair"/>
    <n v="6"/>
    <n v="6000"/>
    <n v="15"/>
    <n v="30600"/>
    <n v="27009.7"/>
    <n v="3590.3"/>
    <s v="UPI"/>
    <d v="2025-11-10T00:00:00"/>
  </r>
  <r>
    <s v="ORD00340"/>
    <d v="2025-01-14T00:00:00"/>
    <x v="2"/>
    <x v="2"/>
    <x v="5"/>
    <s v="Vision Corp"/>
    <x v="0"/>
    <s v="Monitor"/>
    <n v="9"/>
    <n v="12000"/>
    <n v="5"/>
    <n v="102600"/>
    <n v="76139.03"/>
    <n v="26460.97"/>
    <s v="Cash"/>
    <d v="2025-01-14T00:00:00"/>
  </r>
  <r>
    <s v="ORD00341"/>
    <d v="2025-10-08T00:00:00"/>
    <x v="1"/>
    <x v="6"/>
    <x v="1"/>
    <s v="XYZ Ltd"/>
    <x v="1"/>
    <s v="Desk"/>
    <n v="2"/>
    <n v="10000"/>
    <n v="0"/>
    <n v="20000"/>
    <n v="15275.42"/>
    <n v="4724.58"/>
    <s v="UPI"/>
    <d v="2025-10-08T00:00:00"/>
  </r>
  <r>
    <s v="ORD00342"/>
    <d v="2025-07-06T00:00:00"/>
    <x v="1"/>
    <x v="1"/>
    <x v="4"/>
    <s v="Vision Corp"/>
    <x v="0"/>
    <s v="Laptop"/>
    <n v="6"/>
    <n v="55000"/>
    <n v="15"/>
    <n v="280500"/>
    <n v="193494.89"/>
    <n v="87005.11"/>
    <s v="Cash"/>
    <d v="2025-07-06T00:00:00"/>
  </r>
  <r>
    <s v="ORD00343"/>
    <d v="2025-05-17T00:00:00"/>
    <x v="2"/>
    <x v="4"/>
    <x v="2"/>
    <s v="ABC Pvt Ltd"/>
    <x v="0"/>
    <s v="Keyboard"/>
    <n v="1"/>
    <n v="1500"/>
    <n v="0"/>
    <n v="1500"/>
    <n v="1250.3499999999999"/>
    <n v="249.65"/>
    <s v="UPI"/>
    <d v="2025-05-17T00:00:00"/>
  </r>
  <r>
    <s v="ORD00344"/>
    <d v="2025-01-19T00:00:00"/>
    <x v="1"/>
    <x v="6"/>
    <x v="4"/>
    <s v="Vision Corp"/>
    <x v="2"/>
    <s v="Mouse"/>
    <n v="6"/>
    <n v="800"/>
    <n v="10"/>
    <n v="4320"/>
    <n v="3557.21"/>
    <n v="762.79"/>
    <s v="Net Banking"/>
    <d v="2025-01-19T00:00:00"/>
  </r>
  <r>
    <s v="ORD00345"/>
    <d v="2025-04-13T00:00:00"/>
    <x v="0"/>
    <x v="5"/>
    <x v="3"/>
    <s v="XYZ Ltd"/>
    <x v="2"/>
    <s v="Headset"/>
    <n v="2"/>
    <n v="2500"/>
    <n v="0"/>
    <n v="5000"/>
    <n v="4233.38"/>
    <n v="766.62"/>
    <s v="Card"/>
    <d v="2025-04-13T00:00:00"/>
  </r>
  <r>
    <s v="ORD00346"/>
    <d v="2025-08-14T00:00:00"/>
    <x v="1"/>
    <x v="8"/>
    <x v="1"/>
    <s v="Global Mart"/>
    <x v="1"/>
    <s v="Desk"/>
    <n v="4"/>
    <n v="10000"/>
    <n v="0"/>
    <n v="40000"/>
    <n v="30876.37"/>
    <n v="9123.6299999999992"/>
    <s v="UPI"/>
    <d v="2025-08-14T00:00:00"/>
  </r>
  <r>
    <s v="ORD00347"/>
    <d v="2025-10-11T00:00:00"/>
    <x v="3"/>
    <x v="7"/>
    <x v="4"/>
    <s v="Vision Corp"/>
    <x v="1"/>
    <s v="Desk"/>
    <n v="10"/>
    <n v="10000"/>
    <n v="15"/>
    <n v="85000"/>
    <n v="58659.21"/>
    <n v="26340.79"/>
    <s v="Net Banking"/>
    <d v="2025-10-11T00:00:00"/>
  </r>
  <r>
    <s v="ORD00348"/>
    <d v="2025-08-24T00:00:00"/>
    <x v="3"/>
    <x v="7"/>
    <x v="3"/>
    <s v="Prime Stores"/>
    <x v="2"/>
    <s v="Headset"/>
    <n v="6"/>
    <n v="2500"/>
    <n v="15"/>
    <n v="12750"/>
    <n v="9167.31"/>
    <n v="3582.69"/>
    <s v="UPI"/>
    <d v="2025-08-24T00:00:00"/>
  </r>
  <r>
    <s v="ORD00349"/>
    <d v="2025-05-21T00:00:00"/>
    <x v="3"/>
    <x v="7"/>
    <x v="4"/>
    <s v="ABC Pvt Ltd"/>
    <x v="0"/>
    <s v="Keyboard"/>
    <n v="8"/>
    <n v="1500"/>
    <n v="10"/>
    <n v="10800"/>
    <n v="9508.4699999999993"/>
    <n v="1291.53"/>
    <s v="Cash"/>
    <d v="2025-05-21T00:00:00"/>
  </r>
  <r>
    <s v="ORD00350"/>
    <d v="2025-01-09T00:00:00"/>
    <x v="1"/>
    <x v="8"/>
    <x v="5"/>
    <s v="Tech Solutions"/>
    <x v="1"/>
    <s v="Office Chair"/>
    <n v="10"/>
    <n v="6000"/>
    <n v="10"/>
    <n v="54000"/>
    <n v="36845.230000000003"/>
    <n v="17154.77"/>
    <s v="UPI"/>
    <d v="2025-01-09T00:00:00"/>
  </r>
  <r>
    <s v="ORD00351"/>
    <d v="2025-12-01T00:00:00"/>
    <x v="0"/>
    <x v="0"/>
    <x v="0"/>
    <s v="Vision Corp"/>
    <x v="1"/>
    <s v="Office Chair"/>
    <n v="7"/>
    <n v="6000"/>
    <n v="15"/>
    <n v="35700"/>
    <n v="28847.86"/>
    <n v="6852.14"/>
    <s v="Cash"/>
    <d v="2025-12-01T00:00:00"/>
  </r>
  <r>
    <s v="ORD00352"/>
    <d v="2025-08-10T00:00:00"/>
    <x v="0"/>
    <x v="0"/>
    <x v="2"/>
    <s v="ABC Pvt Ltd"/>
    <x v="0"/>
    <s v="Keyboard"/>
    <n v="5"/>
    <n v="1500"/>
    <n v="15"/>
    <n v="6375"/>
    <n v="4302.88"/>
    <n v="2072.12"/>
    <s v="Net Banking"/>
    <d v="2025-08-10T00:00:00"/>
  </r>
  <r>
    <s v="ORD00353"/>
    <d v="2025-12-18T00:00:00"/>
    <x v="3"/>
    <x v="7"/>
    <x v="0"/>
    <s v="ABC Pvt Ltd"/>
    <x v="0"/>
    <s v="Monitor"/>
    <n v="3"/>
    <n v="12000"/>
    <n v="0"/>
    <n v="36000"/>
    <n v="31703"/>
    <n v="4297"/>
    <s v="Cash"/>
    <d v="2025-12-18T00:00:00"/>
  </r>
  <r>
    <s v="ORD00354"/>
    <d v="2025-11-25T00:00:00"/>
    <x v="0"/>
    <x v="0"/>
    <x v="3"/>
    <s v="Prime Stores"/>
    <x v="0"/>
    <s v="Monitor"/>
    <n v="3"/>
    <n v="12000"/>
    <n v="15"/>
    <n v="30600"/>
    <n v="22248.54"/>
    <n v="8351.4599999999991"/>
    <s v="Card"/>
    <d v="2025-11-25T00:00:00"/>
  </r>
  <r>
    <s v="ORD00355"/>
    <d v="2025-12-15T00:00:00"/>
    <x v="2"/>
    <x v="2"/>
    <x v="0"/>
    <s v="Prime Stores"/>
    <x v="0"/>
    <s v="Monitor"/>
    <n v="7"/>
    <n v="12000"/>
    <n v="15"/>
    <n v="71400"/>
    <n v="51845.36"/>
    <n v="19554.64"/>
    <s v="UPI"/>
    <d v="2025-12-15T00:00:00"/>
  </r>
  <r>
    <s v="ORD00356"/>
    <d v="2025-09-11T00:00:00"/>
    <x v="1"/>
    <x v="8"/>
    <x v="0"/>
    <s v="Global Mart"/>
    <x v="0"/>
    <s v="Keyboard"/>
    <n v="1"/>
    <n v="1500"/>
    <n v="0"/>
    <n v="1500"/>
    <n v="1236.73"/>
    <n v="263.27"/>
    <s v="Cash"/>
    <d v="2025-09-11T00:00:00"/>
  </r>
  <r>
    <s v="ORD00357"/>
    <d v="2025-06-24T00:00:00"/>
    <x v="1"/>
    <x v="1"/>
    <x v="0"/>
    <s v="Global Mart"/>
    <x v="1"/>
    <s v="Office Chair"/>
    <n v="4"/>
    <n v="6000"/>
    <n v="5"/>
    <n v="22800"/>
    <n v="18653.150000000001"/>
    <n v="4146.8500000000004"/>
    <s v="Cash"/>
    <d v="2025-06-24T00:00:00"/>
  </r>
  <r>
    <s v="ORD00358"/>
    <d v="2025-03-17T00:00:00"/>
    <x v="1"/>
    <x v="1"/>
    <x v="1"/>
    <s v="Tech Solutions"/>
    <x v="1"/>
    <s v="Office Chair"/>
    <n v="1"/>
    <n v="6000"/>
    <n v="0"/>
    <n v="6000"/>
    <n v="4420.3599999999997"/>
    <n v="1579.64"/>
    <s v="Card"/>
    <d v="2025-03-17T00:00:00"/>
  </r>
  <r>
    <s v="ORD00359"/>
    <d v="2025-06-23T00:00:00"/>
    <x v="0"/>
    <x v="5"/>
    <x v="1"/>
    <s v="ABC Pvt Ltd"/>
    <x v="1"/>
    <s v="Office Chair"/>
    <n v="3"/>
    <n v="6000"/>
    <n v="5"/>
    <n v="17100"/>
    <n v="12241.12"/>
    <n v="4858.88"/>
    <s v="UPI"/>
    <d v="2025-06-23T00:00:00"/>
  </r>
  <r>
    <s v="ORD00360"/>
    <d v="2025-10-31T00:00:00"/>
    <x v="2"/>
    <x v="4"/>
    <x v="3"/>
    <s v="Prime Stores"/>
    <x v="2"/>
    <s v="USB Drive"/>
    <n v="2"/>
    <n v="900"/>
    <n v="15"/>
    <n v="1530"/>
    <n v="1205.44"/>
    <n v="324.56"/>
    <s v="UPI"/>
    <d v="2025-10-31T00:00:00"/>
  </r>
  <r>
    <s v="ORD00361"/>
    <d v="2025-10-01T00:00:00"/>
    <x v="1"/>
    <x v="6"/>
    <x v="4"/>
    <s v="Vision Corp"/>
    <x v="0"/>
    <s v="Monitor"/>
    <n v="6"/>
    <n v="12000"/>
    <n v="5"/>
    <n v="68400"/>
    <n v="45046.91"/>
    <n v="23353.09"/>
    <s v="Cash"/>
    <d v="2025-10-01T00:00:00"/>
  </r>
  <r>
    <s v="ORD00362"/>
    <d v="2025-05-01T00:00:00"/>
    <x v="2"/>
    <x v="2"/>
    <x v="5"/>
    <s v="Prime Stores"/>
    <x v="2"/>
    <s v="Mouse"/>
    <n v="3"/>
    <n v="800"/>
    <n v="0"/>
    <n v="2400"/>
    <n v="2066.59"/>
    <n v="333.41"/>
    <s v="Card"/>
    <d v="2025-05-01T00:00:00"/>
  </r>
  <r>
    <s v="ORD00363"/>
    <d v="2025-01-26T00:00:00"/>
    <x v="1"/>
    <x v="6"/>
    <x v="0"/>
    <s v="Global Mart"/>
    <x v="0"/>
    <s v="Laptop"/>
    <n v="10"/>
    <n v="55000"/>
    <n v="0"/>
    <n v="550000"/>
    <n v="436279.73"/>
    <n v="113720.27"/>
    <s v="Net Banking"/>
    <d v="2025-01-26T00:00:00"/>
  </r>
  <r>
    <s v="ORD00364"/>
    <d v="2025-03-29T00:00:00"/>
    <x v="2"/>
    <x v="2"/>
    <x v="2"/>
    <s v="Prime Stores"/>
    <x v="0"/>
    <s v="Laptop"/>
    <n v="7"/>
    <n v="55000"/>
    <n v="15"/>
    <n v="327250"/>
    <n v="218353"/>
    <n v="108897"/>
    <s v="Cash"/>
    <d v="2025-03-29T00:00:00"/>
  </r>
  <r>
    <s v="ORD00365"/>
    <d v="2025-09-02T00:00:00"/>
    <x v="1"/>
    <x v="8"/>
    <x v="4"/>
    <s v="ABC Pvt Ltd"/>
    <x v="2"/>
    <s v="Mouse"/>
    <n v="4"/>
    <n v="800"/>
    <n v="5"/>
    <n v="3040"/>
    <n v="2539.8200000000002"/>
    <n v="500.18"/>
    <s v="Net Banking"/>
    <d v="2025-09-02T00:00:00"/>
  </r>
  <r>
    <s v="ORD00366"/>
    <d v="2025-07-15T00:00:00"/>
    <x v="0"/>
    <x v="0"/>
    <x v="5"/>
    <s v="XYZ Ltd"/>
    <x v="1"/>
    <s v="Office Chair"/>
    <n v="7"/>
    <n v="6000"/>
    <n v="10"/>
    <n v="37800"/>
    <n v="25772.78"/>
    <n v="12027.22"/>
    <s v="Net Banking"/>
    <d v="2025-07-15T00:00:00"/>
  </r>
  <r>
    <s v="ORD00367"/>
    <d v="2025-03-02T00:00:00"/>
    <x v="2"/>
    <x v="4"/>
    <x v="0"/>
    <s v="Vision Corp"/>
    <x v="1"/>
    <s v="Office Chair"/>
    <n v="2"/>
    <n v="6000"/>
    <n v="10"/>
    <n v="10800"/>
    <n v="8260.99"/>
    <n v="2539.0100000000002"/>
    <s v="Card"/>
    <d v="2025-03-02T00:00:00"/>
  </r>
  <r>
    <s v="ORD00368"/>
    <d v="2025-06-27T00:00:00"/>
    <x v="0"/>
    <x v="5"/>
    <x v="2"/>
    <s v="ABC Pvt Ltd"/>
    <x v="2"/>
    <s v="USB Drive"/>
    <n v="4"/>
    <n v="900"/>
    <n v="15"/>
    <n v="3060"/>
    <n v="2595.37"/>
    <n v="464.63"/>
    <s v="Card"/>
    <d v="2025-06-27T00:00:00"/>
  </r>
  <r>
    <s v="ORD00369"/>
    <d v="2025-11-18T00:00:00"/>
    <x v="2"/>
    <x v="4"/>
    <x v="4"/>
    <s v="Vision Corp"/>
    <x v="0"/>
    <s v="Laptop"/>
    <n v="4"/>
    <n v="55000"/>
    <n v="0"/>
    <n v="220000"/>
    <n v="163301.09"/>
    <n v="56698.91"/>
    <s v="Net Banking"/>
    <d v="2025-11-18T00:00:00"/>
  </r>
  <r>
    <s v="ORD00370"/>
    <d v="2025-05-17T00:00:00"/>
    <x v="3"/>
    <x v="9"/>
    <x v="0"/>
    <s v="Tech Solutions"/>
    <x v="1"/>
    <s v="Desk"/>
    <n v="4"/>
    <n v="10000"/>
    <n v="15"/>
    <n v="34000"/>
    <n v="27416.98"/>
    <n v="6583.02"/>
    <s v="Card"/>
    <d v="2025-05-17T00:00:00"/>
  </r>
  <r>
    <s v="ORD00371"/>
    <d v="2025-11-28T00:00:00"/>
    <x v="0"/>
    <x v="0"/>
    <x v="2"/>
    <s v="Tech Solutions"/>
    <x v="0"/>
    <s v="Keyboard"/>
    <n v="8"/>
    <n v="1500"/>
    <n v="5"/>
    <n v="11400"/>
    <n v="9743.19"/>
    <n v="1656.81"/>
    <s v="Cash"/>
    <d v="2025-11-28T00:00:00"/>
  </r>
  <r>
    <s v="ORD00372"/>
    <d v="2025-05-09T00:00:00"/>
    <x v="2"/>
    <x v="2"/>
    <x v="3"/>
    <s v="Prime Stores"/>
    <x v="1"/>
    <s v="Desk"/>
    <n v="2"/>
    <n v="10000"/>
    <n v="10"/>
    <n v="18000"/>
    <n v="16183.46"/>
    <n v="1816.54"/>
    <s v="Net Banking"/>
    <d v="2025-05-09T00:00:00"/>
  </r>
  <r>
    <s v="ORD00373"/>
    <d v="2025-06-26T00:00:00"/>
    <x v="1"/>
    <x v="8"/>
    <x v="4"/>
    <s v="ABC Pvt Ltd"/>
    <x v="0"/>
    <s v="Monitor"/>
    <n v="7"/>
    <n v="12000"/>
    <n v="15"/>
    <n v="71400"/>
    <n v="53568.29"/>
    <n v="17831.71"/>
    <s v="Net Banking"/>
    <d v="2025-06-26T00:00:00"/>
  </r>
  <r>
    <s v="ORD00374"/>
    <d v="2025-04-23T00:00:00"/>
    <x v="2"/>
    <x v="2"/>
    <x v="1"/>
    <s v="Tech Solutions"/>
    <x v="1"/>
    <s v="Office Chair"/>
    <n v="3"/>
    <n v="6000"/>
    <n v="5"/>
    <n v="17100"/>
    <n v="13803.91"/>
    <n v="3296.09"/>
    <s v="Net Banking"/>
    <d v="2025-04-23T00:00:00"/>
  </r>
  <r>
    <s v="ORD00375"/>
    <d v="2025-02-17T00:00:00"/>
    <x v="1"/>
    <x v="6"/>
    <x v="4"/>
    <s v="Global Mart"/>
    <x v="2"/>
    <s v="Headset"/>
    <n v="2"/>
    <n v="2500"/>
    <n v="0"/>
    <n v="5000"/>
    <n v="3396.31"/>
    <n v="1603.69"/>
    <s v="Card"/>
    <d v="2025-02-17T00:00:00"/>
  </r>
  <r>
    <s v="ORD00376"/>
    <d v="2025-02-13T00:00:00"/>
    <x v="0"/>
    <x v="5"/>
    <x v="2"/>
    <s v="Vision Corp"/>
    <x v="1"/>
    <s v="Office Chair"/>
    <n v="3"/>
    <n v="6000"/>
    <n v="5"/>
    <n v="17100"/>
    <n v="14619.81"/>
    <n v="2480.19"/>
    <s v="Net Banking"/>
    <d v="2025-02-13T00:00:00"/>
  </r>
  <r>
    <s v="ORD00377"/>
    <d v="2025-04-01T00:00:00"/>
    <x v="2"/>
    <x v="4"/>
    <x v="5"/>
    <s v="XYZ Ltd"/>
    <x v="1"/>
    <s v="Office Chair"/>
    <n v="7"/>
    <n v="6000"/>
    <n v="15"/>
    <n v="35700"/>
    <n v="26342.37"/>
    <n v="9357.6299999999992"/>
    <s v="Card"/>
    <d v="2025-04-01T00:00:00"/>
  </r>
  <r>
    <s v="ORD00378"/>
    <d v="2025-12-18T00:00:00"/>
    <x v="3"/>
    <x v="7"/>
    <x v="2"/>
    <s v="XYZ Ltd"/>
    <x v="1"/>
    <s v="Desk"/>
    <n v="10"/>
    <n v="10000"/>
    <n v="10"/>
    <n v="90000"/>
    <n v="71244.509999999995"/>
    <n v="18755.490000000002"/>
    <s v="Card"/>
    <d v="2025-12-18T00:00:00"/>
  </r>
  <r>
    <s v="ORD00379"/>
    <d v="2025-09-05T00:00:00"/>
    <x v="3"/>
    <x v="3"/>
    <x v="1"/>
    <s v="Vision Corp"/>
    <x v="1"/>
    <s v="Office Chair"/>
    <n v="2"/>
    <n v="6000"/>
    <n v="5"/>
    <n v="11400"/>
    <n v="8318.43"/>
    <n v="3081.57"/>
    <s v="Net Banking"/>
    <d v="2025-09-05T00:00:00"/>
  </r>
  <r>
    <s v="ORD00380"/>
    <d v="2025-12-15T00:00:00"/>
    <x v="2"/>
    <x v="2"/>
    <x v="3"/>
    <s v="Global Mart"/>
    <x v="1"/>
    <s v="Office Chair"/>
    <n v="10"/>
    <n v="6000"/>
    <n v="15"/>
    <n v="51000"/>
    <n v="37198.949999999997"/>
    <n v="13801.05"/>
    <s v="Card"/>
    <d v="2025-12-15T00:00:00"/>
  </r>
  <r>
    <s v="ORD00381"/>
    <d v="2025-04-01T00:00:00"/>
    <x v="3"/>
    <x v="7"/>
    <x v="3"/>
    <s v="ABC Pvt Ltd"/>
    <x v="1"/>
    <s v="Office Chair"/>
    <n v="2"/>
    <n v="6000"/>
    <n v="5"/>
    <n v="11400"/>
    <n v="10148.77"/>
    <n v="1251.23"/>
    <s v="Card"/>
    <d v="2025-04-01T00:00:00"/>
  </r>
  <r>
    <s v="ORD00382"/>
    <d v="2025-01-18T00:00:00"/>
    <x v="1"/>
    <x v="8"/>
    <x v="1"/>
    <s v="Vision Corp"/>
    <x v="2"/>
    <s v="Headset"/>
    <n v="5"/>
    <n v="2500"/>
    <n v="0"/>
    <n v="12500"/>
    <n v="9790.9"/>
    <n v="2709.1"/>
    <s v="Net Banking"/>
    <d v="2025-01-18T00:00:00"/>
  </r>
  <r>
    <s v="ORD00383"/>
    <d v="2025-11-25T00:00:00"/>
    <x v="3"/>
    <x v="9"/>
    <x v="1"/>
    <s v="Tech Solutions"/>
    <x v="0"/>
    <s v="Monitor"/>
    <n v="1"/>
    <n v="12000"/>
    <n v="0"/>
    <n v="12000"/>
    <n v="8375.5400000000009"/>
    <n v="3624.46"/>
    <s v="Net Banking"/>
    <d v="2025-11-25T00:00:00"/>
  </r>
  <r>
    <s v="ORD00384"/>
    <d v="2025-02-11T00:00:00"/>
    <x v="2"/>
    <x v="4"/>
    <x v="5"/>
    <s v="XYZ Ltd"/>
    <x v="0"/>
    <s v="Keyboard"/>
    <n v="8"/>
    <n v="1500"/>
    <n v="0"/>
    <n v="12000"/>
    <n v="8062.3"/>
    <n v="3937.7"/>
    <s v="Net Banking"/>
    <d v="2025-02-11T00:00:00"/>
  </r>
  <r>
    <s v="ORD00385"/>
    <d v="2025-01-16T00:00:00"/>
    <x v="3"/>
    <x v="3"/>
    <x v="2"/>
    <s v="XYZ Ltd"/>
    <x v="2"/>
    <s v="Headset"/>
    <n v="1"/>
    <n v="2500"/>
    <n v="10"/>
    <n v="2250"/>
    <n v="1520.06"/>
    <n v="729.94"/>
    <s v="Cash"/>
    <d v="2025-01-16T00:00:00"/>
  </r>
  <r>
    <s v="ORD00386"/>
    <d v="2025-01-16T00:00:00"/>
    <x v="3"/>
    <x v="3"/>
    <x v="2"/>
    <s v="Prime Stores"/>
    <x v="0"/>
    <s v="Laptop"/>
    <n v="9"/>
    <n v="55000"/>
    <n v="0"/>
    <n v="495000"/>
    <n v="437846.98"/>
    <n v="57153.02"/>
    <s v="Net Banking"/>
    <d v="2025-01-16T00:00:00"/>
  </r>
  <r>
    <s v="ORD00387"/>
    <d v="2025-12-19T00:00:00"/>
    <x v="3"/>
    <x v="9"/>
    <x v="4"/>
    <s v="XYZ Ltd"/>
    <x v="1"/>
    <s v="Office Chair"/>
    <n v="6"/>
    <n v="6000"/>
    <n v="0"/>
    <n v="36000"/>
    <n v="25985.11"/>
    <n v="10014.89"/>
    <s v="Cash"/>
    <d v="2025-12-19T00:00:00"/>
  </r>
  <r>
    <s v="ORD00388"/>
    <d v="2025-12-21T00:00:00"/>
    <x v="2"/>
    <x v="2"/>
    <x v="1"/>
    <s v="Vision Corp"/>
    <x v="1"/>
    <s v="Desk"/>
    <n v="6"/>
    <n v="10000"/>
    <n v="10"/>
    <n v="54000"/>
    <n v="41087.730000000003"/>
    <n v="12912.27"/>
    <s v="Net Banking"/>
    <d v="2025-12-21T00:00:00"/>
  </r>
  <r>
    <s v="ORD00389"/>
    <d v="2025-05-08T00:00:00"/>
    <x v="3"/>
    <x v="7"/>
    <x v="3"/>
    <s v="ABC Pvt Ltd"/>
    <x v="0"/>
    <s v="Keyboard"/>
    <n v="7"/>
    <n v="1500"/>
    <n v="5"/>
    <n v="9975"/>
    <n v="7309.26"/>
    <n v="2665.74"/>
    <s v="UPI"/>
    <d v="2025-05-08T00:00:00"/>
  </r>
  <r>
    <s v="ORD00390"/>
    <d v="2025-02-09T00:00:00"/>
    <x v="3"/>
    <x v="3"/>
    <x v="0"/>
    <s v="ABC Pvt Ltd"/>
    <x v="1"/>
    <s v="Desk"/>
    <n v="2"/>
    <n v="10000"/>
    <n v="5"/>
    <n v="19000"/>
    <n v="14151.89"/>
    <n v="4848.1099999999997"/>
    <s v="Card"/>
    <d v="2025-02-09T00:00:00"/>
  </r>
  <r>
    <s v="ORD00391"/>
    <d v="2025-03-28T00:00:00"/>
    <x v="1"/>
    <x v="1"/>
    <x v="0"/>
    <s v="Tech Solutions"/>
    <x v="1"/>
    <s v="Office Chair"/>
    <n v="9"/>
    <n v="6000"/>
    <n v="5"/>
    <n v="51300"/>
    <n v="45320.160000000003"/>
    <n v="5979.84"/>
    <s v="UPI"/>
    <d v="2025-03-28T00:00:00"/>
  </r>
  <r>
    <s v="ORD00392"/>
    <d v="2025-11-29T00:00:00"/>
    <x v="0"/>
    <x v="5"/>
    <x v="2"/>
    <s v="ABC Pvt Ltd"/>
    <x v="2"/>
    <s v="Mouse"/>
    <n v="6"/>
    <n v="800"/>
    <n v="5"/>
    <n v="4560"/>
    <n v="3895.37"/>
    <n v="664.63"/>
    <s v="Net Banking"/>
    <d v="2025-11-29T00:00:00"/>
  </r>
  <r>
    <s v="ORD00393"/>
    <d v="2025-02-05T00:00:00"/>
    <x v="2"/>
    <x v="2"/>
    <x v="3"/>
    <s v="Tech Solutions"/>
    <x v="1"/>
    <s v="Office Chair"/>
    <n v="5"/>
    <n v="6000"/>
    <n v="0"/>
    <n v="30000"/>
    <n v="20496.7"/>
    <n v="9503.2999999999993"/>
    <s v="Net Banking"/>
    <d v="2025-02-05T00:00:00"/>
  </r>
  <r>
    <s v="ORD00394"/>
    <d v="2025-06-13T00:00:00"/>
    <x v="1"/>
    <x v="8"/>
    <x v="2"/>
    <s v="Vision Corp"/>
    <x v="0"/>
    <s v="Keyboard"/>
    <n v="7"/>
    <n v="1500"/>
    <n v="10"/>
    <n v="9450"/>
    <n v="6964.46"/>
    <n v="2485.54"/>
    <s v="UPI"/>
    <d v="2025-06-13T00:00:00"/>
  </r>
  <r>
    <s v="ORD00395"/>
    <d v="2025-08-08T00:00:00"/>
    <x v="2"/>
    <x v="2"/>
    <x v="4"/>
    <s v="Prime Stores"/>
    <x v="0"/>
    <s v="Keyboard"/>
    <n v="2"/>
    <n v="1500"/>
    <n v="0"/>
    <n v="3000"/>
    <n v="2490.9499999999998"/>
    <n v="509.05"/>
    <s v="UPI"/>
    <d v="2025-08-08T00:00:00"/>
  </r>
  <r>
    <s v="ORD00396"/>
    <d v="2025-06-03T00:00:00"/>
    <x v="1"/>
    <x v="8"/>
    <x v="3"/>
    <s v="Vision Corp"/>
    <x v="1"/>
    <s v="Desk"/>
    <n v="2"/>
    <n v="10000"/>
    <n v="0"/>
    <n v="20000"/>
    <n v="13326.33"/>
    <n v="6673.67"/>
    <s v="Card"/>
    <d v="2025-06-03T00:00:00"/>
  </r>
  <r>
    <s v="ORD00397"/>
    <d v="2025-03-24T00:00:00"/>
    <x v="0"/>
    <x v="5"/>
    <x v="1"/>
    <s v="XYZ Ltd"/>
    <x v="0"/>
    <s v="Laptop"/>
    <n v="8"/>
    <n v="55000"/>
    <n v="0"/>
    <n v="440000"/>
    <n v="357793.21"/>
    <n v="82206.789999999994"/>
    <s v="Net Banking"/>
    <d v="2025-03-24T00:00:00"/>
  </r>
  <r>
    <s v="ORD00398"/>
    <d v="2025-01-23T00:00:00"/>
    <x v="1"/>
    <x v="6"/>
    <x v="0"/>
    <s v="Global Mart"/>
    <x v="2"/>
    <s v="USB Drive"/>
    <n v="8"/>
    <n v="900"/>
    <n v="15"/>
    <n v="6120"/>
    <n v="4958.93"/>
    <n v="1161.07"/>
    <s v="Cash"/>
    <d v="2025-01-23T00:00:00"/>
  </r>
  <r>
    <s v="ORD00399"/>
    <d v="2025-09-04T00:00:00"/>
    <x v="0"/>
    <x v="5"/>
    <x v="5"/>
    <s v="ABC Pvt Ltd"/>
    <x v="1"/>
    <s v="Desk"/>
    <n v="4"/>
    <n v="10000"/>
    <n v="10"/>
    <n v="36000"/>
    <n v="30125.26"/>
    <n v="5874.74"/>
    <s v="UPI"/>
    <d v="2025-09-04T00:00:00"/>
  </r>
  <r>
    <s v="ORD00400"/>
    <d v="2025-09-14T00:00:00"/>
    <x v="3"/>
    <x v="7"/>
    <x v="0"/>
    <s v="Tech Solutions"/>
    <x v="1"/>
    <s v="Office Chair"/>
    <n v="6"/>
    <n v="6000"/>
    <n v="0"/>
    <n v="36000"/>
    <n v="30616.98"/>
    <n v="5383.02"/>
    <s v="UPI"/>
    <d v="2025-09-14T00:00:00"/>
  </r>
  <r>
    <s v="ORD00401"/>
    <d v="2025-11-16T00:00:00"/>
    <x v="0"/>
    <x v="0"/>
    <x v="3"/>
    <s v="Prime Stores"/>
    <x v="1"/>
    <s v="Desk"/>
    <n v="4"/>
    <n v="10000"/>
    <n v="0"/>
    <n v="40000"/>
    <n v="32356.639999999999"/>
    <n v="7643.36"/>
    <s v="Card"/>
    <d v="2025-11-16T00:00:00"/>
  </r>
  <r>
    <s v="ORD00402"/>
    <d v="2025-10-16T00:00:00"/>
    <x v="3"/>
    <x v="9"/>
    <x v="2"/>
    <s v="Prime Stores"/>
    <x v="0"/>
    <s v="Keyboard"/>
    <n v="7"/>
    <n v="1500"/>
    <n v="5"/>
    <n v="9975"/>
    <n v="6549.15"/>
    <n v="3425.85"/>
    <s v="UPI"/>
    <d v="2025-10-16T00:00:00"/>
  </r>
  <r>
    <s v="ORD00403"/>
    <d v="2025-04-26T00:00:00"/>
    <x v="2"/>
    <x v="4"/>
    <x v="2"/>
    <s v="ABC Pvt Ltd"/>
    <x v="1"/>
    <s v="Desk"/>
    <n v="5"/>
    <n v="10000"/>
    <n v="5"/>
    <n v="47500"/>
    <n v="33893.879999999997"/>
    <n v="13606.12"/>
    <s v="Net Banking"/>
    <d v="2025-04-26T00:00:00"/>
  </r>
  <r>
    <s v="ORD00404"/>
    <d v="2025-01-19T00:00:00"/>
    <x v="1"/>
    <x v="8"/>
    <x v="1"/>
    <s v="Tech Solutions"/>
    <x v="0"/>
    <s v="Keyboard"/>
    <n v="7"/>
    <n v="1500"/>
    <n v="15"/>
    <n v="8925"/>
    <n v="7297.52"/>
    <n v="1627.48"/>
    <s v="Cash"/>
    <d v="2025-01-19T00:00:00"/>
  </r>
  <r>
    <s v="ORD00405"/>
    <d v="2025-08-25T00:00:00"/>
    <x v="1"/>
    <x v="1"/>
    <x v="0"/>
    <s v="Global Mart"/>
    <x v="2"/>
    <s v="Mouse"/>
    <n v="6"/>
    <n v="800"/>
    <n v="0"/>
    <n v="4800"/>
    <n v="4197.03"/>
    <n v="602.97"/>
    <s v="Cash"/>
    <d v="2025-08-25T00:00:00"/>
  </r>
  <r>
    <s v="ORD00406"/>
    <d v="2025-11-04T00:00:00"/>
    <x v="2"/>
    <x v="4"/>
    <x v="0"/>
    <s v="ABC Pvt Ltd"/>
    <x v="2"/>
    <s v="USB Drive"/>
    <n v="3"/>
    <n v="900"/>
    <n v="5"/>
    <n v="2565"/>
    <n v="1974.02"/>
    <n v="590.98"/>
    <s v="Cash"/>
    <d v="2025-11-04T00:00:00"/>
  </r>
  <r>
    <s v="ORD00407"/>
    <d v="2025-03-08T00:00:00"/>
    <x v="0"/>
    <x v="0"/>
    <x v="4"/>
    <s v="Vision Corp"/>
    <x v="1"/>
    <s v="Office Chair"/>
    <n v="4"/>
    <n v="6000"/>
    <n v="15"/>
    <n v="20400"/>
    <n v="16714.259999999998"/>
    <n v="3685.74"/>
    <s v="Net Banking"/>
    <d v="2025-03-08T00:00:00"/>
  </r>
  <r>
    <s v="ORD00408"/>
    <d v="2025-01-28T00:00:00"/>
    <x v="3"/>
    <x v="3"/>
    <x v="1"/>
    <s v="Tech Solutions"/>
    <x v="2"/>
    <s v="Headset"/>
    <n v="3"/>
    <n v="2500"/>
    <n v="10"/>
    <n v="6750"/>
    <n v="4700.84"/>
    <n v="2049.16"/>
    <s v="Cash"/>
    <d v="2025-01-28T00:00:00"/>
  </r>
  <r>
    <s v="ORD00409"/>
    <d v="2025-08-04T00:00:00"/>
    <x v="0"/>
    <x v="5"/>
    <x v="1"/>
    <s v="Global Mart"/>
    <x v="0"/>
    <s v="Laptop"/>
    <n v="8"/>
    <n v="55000"/>
    <n v="10"/>
    <n v="396000"/>
    <n v="294730.15000000002"/>
    <n v="101269.85"/>
    <s v="Net Banking"/>
    <d v="2025-08-04T00:00:00"/>
  </r>
  <r>
    <s v="ORD00410"/>
    <d v="2025-03-15T00:00:00"/>
    <x v="0"/>
    <x v="0"/>
    <x v="0"/>
    <s v="Tech Solutions"/>
    <x v="1"/>
    <s v="Office Chair"/>
    <n v="1"/>
    <n v="6000"/>
    <n v="5"/>
    <n v="5700"/>
    <n v="4986.75"/>
    <n v="713.25"/>
    <s v="Net Banking"/>
    <d v="2025-03-15T00:00:00"/>
  </r>
  <r>
    <s v="ORD00411"/>
    <d v="2025-12-14T00:00:00"/>
    <x v="1"/>
    <x v="1"/>
    <x v="4"/>
    <s v="Prime Stores"/>
    <x v="0"/>
    <s v="Monitor"/>
    <n v="6"/>
    <n v="12000"/>
    <n v="5"/>
    <n v="68400"/>
    <n v="53408.42"/>
    <n v="14991.58"/>
    <s v="Card"/>
    <d v="2025-12-14T00:00:00"/>
  </r>
  <r>
    <s v="ORD00412"/>
    <d v="2025-02-02T00:00:00"/>
    <x v="3"/>
    <x v="3"/>
    <x v="4"/>
    <s v="Vision Corp"/>
    <x v="0"/>
    <s v="Laptop"/>
    <n v="6"/>
    <n v="55000"/>
    <n v="0"/>
    <n v="330000"/>
    <n v="245705.42"/>
    <n v="84294.58"/>
    <s v="UPI"/>
    <d v="2025-02-02T00:00:00"/>
  </r>
  <r>
    <s v="ORD00413"/>
    <d v="2025-03-22T00:00:00"/>
    <x v="2"/>
    <x v="4"/>
    <x v="1"/>
    <s v="XYZ Ltd"/>
    <x v="0"/>
    <s v="Keyboard"/>
    <n v="1"/>
    <n v="1500"/>
    <n v="0"/>
    <n v="1500"/>
    <n v="1147.32"/>
    <n v="352.68"/>
    <s v="Card"/>
    <d v="2025-03-22T00:00:00"/>
  </r>
  <r>
    <s v="ORD00414"/>
    <d v="2025-09-21T00:00:00"/>
    <x v="2"/>
    <x v="4"/>
    <x v="4"/>
    <s v="Tech Solutions"/>
    <x v="0"/>
    <s v="Laptop"/>
    <n v="4"/>
    <n v="55000"/>
    <n v="15"/>
    <n v="187000"/>
    <n v="157189.53"/>
    <n v="29810.47"/>
    <s v="Cash"/>
    <d v="2025-09-21T00:00:00"/>
  </r>
  <r>
    <s v="ORD00415"/>
    <d v="2025-07-11T00:00:00"/>
    <x v="2"/>
    <x v="2"/>
    <x v="0"/>
    <s v="Tech Solutions"/>
    <x v="0"/>
    <s v="Laptop"/>
    <n v="4"/>
    <n v="55000"/>
    <n v="10"/>
    <n v="198000"/>
    <n v="158881.24"/>
    <n v="39118.76"/>
    <s v="Net Banking"/>
    <d v="2025-07-11T00:00:00"/>
  </r>
  <r>
    <s v="ORD00416"/>
    <d v="2025-03-21T00:00:00"/>
    <x v="3"/>
    <x v="3"/>
    <x v="0"/>
    <s v="Prime Stores"/>
    <x v="1"/>
    <s v="Office Chair"/>
    <n v="4"/>
    <n v="6000"/>
    <n v="15"/>
    <n v="20400"/>
    <n v="17448.509999999998"/>
    <n v="2951.49"/>
    <s v="UPI"/>
    <d v="2025-03-21T00:00:00"/>
  </r>
  <r>
    <s v="ORD00417"/>
    <d v="2025-10-13T00:00:00"/>
    <x v="1"/>
    <x v="8"/>
    <x v="3"/>
    <s v="Vision Corp"/>
    <x v="0"/>
    <s v="Laptop"/>
    <n v="10"/>
    <n v="55000"/>
    <n v="5"/>
    <n v="522500"/>
    <n v="407407.58"/>
    <n v="115092.42"/>
    <s v="Net Banking"/>
    <d v="2025-10-13T00:00:00"/>
  </r>
  <r>
    <s v="ORD00418"/>
    <d v="2025-12-20T00:00:00"/>
    <x v="2"/>
    <x v="2"/>
    <x v="5"/>
    <s v="ABC Pvt Ltd"/>
    <x v="2"/>
    <s v="Headset"/>
    <n v="2"/>
    <n v="2500"/>
    <n v="10"/>
    <n v="4500"/>
    <n v="3718.59"/>
    <n v="781.41"/>
    <s v="UPI"/>
    <d v="2025-12-20T00:00:00"/>
  </r>
  <r>
    <s v="ORD00419"/>
    <d v="2025-01-18T00:00:00"/>
    <x v="0"/>
    <x v="0"/>
    <x v="4"/>
    <s v="XYZ Ltd"/>
    <x v="2"/>
    <s v="Headset"/>
    <n v="10"/>
    <n v="2500"/>
    <n v="0"/>
    <n v="25000"/>
    <n v="18747.39"/>
    <n v="6252.61"/>
    <s v="Net Banking"/>
    <d v="2025-01-18T00:00:00"/>
  </r>
  <r>
    <s v="ORD00420"/>
    <d v="2025-04-06T00:00:00"/>
    <x v="1"/>
    <x v="1"/>
    <x v="0"/>
    <s v="Vision Corp"/>
    <x v="1"/>
    <s v="Office Chair"/>
    <n v="7"/>
    <n v="6000"/>
    <n v="10"/>
    <n v="37800"/>
    <n v="26458.6"/>
    <n v="11341.4"/>
    <s v="Card"/>
    <d v="2025-04-06T00:00:00"/>
  </r>
  <r>
    <s v="ORD00421"/>
    <d v="2025-04-18T00:00:00"/>
    <x v="3"/>
    <x v="9"/>
    <x v="3"/>
    <s v="Vision Corp"/>
    <x v="0"/>
    <s v="Keyboard"/>
    <n v="6"/>
    <n v="1500"/>
    <n v="15"/>
    <n v="7650"/>
    <n v="5471.91"/>
    <n v="2178.09"/>
    <s v="Card"/>
    <d v="2025-04-18T00:00:00"/>
  </r>
  <r>
    <s v="ORD00422"/>
    <d v="2025-12-09T00:00:00"/>
    <x v="1"/>
    <x v="6"/>
    <x v="5"/>
    <s v="Vision Corp"/>
    <x v="2"/>
    <s v="Headset"/>
    <n v="3"/>
    <n v="2500"/>
    <n v="15"/>
    <n v="6375"/>
    <n v="5214.95"/>
    <n v="1160.05"/>
    <s v="Card"/>
    <d v="2025-12-09T00:00:00"/>
  </r>
  <r>
    <s v="ORD00423"/>
    <d v="2025-03-31T00:00:00"/>
    <x v="2"/>
    <x v="2"/>
    <x v="2"/>
    <s v="XYZ Ltd"/>
    <x v="1"/>
    <s v="Office Chair"/>
    <n v="4"/>
    <n v="6000"/>
    <n v="15"/>
    <n v="20400"/>
    <n v="13585.71"/>
    <n v="6814.29"/>
    <s v="Net Banking"/>
    <d v="2025-03-31T00:00:00"/>
  </r>
  <r>
    <s v="ORD00424"/>
    <d v="2025-07-24T00:00:00"/>
    <x v="3"/>
    <x v="9"/>
    <x v="2"/>
    <s v="Global Mart"/>
    <x v="0"/>
    <s v="Keyboard"/>
    <n v="3"/>
    <n v="1500"/>
    <n v="15"/>
    <n v="3825"/>
    <n v="2930.06"/>
    <n v="894.94"/>
    <s v="Net Banking"/>
    <d v="2025-07-24T00:00:00"/>
  </r>
  <r>
    <s v="ORD00425"/>
    <d v="2025-01-06T00:00:00"/>
    <x v="0"/>
    <x v="5"/>
    <x v="0"/>
    <s v="ABC Pvt Ltd"/>
    <x v="1"/>
    <s v="Desk"/>
    <n v="9"/>
    <n v="10000"/>
    <n v="15"/>
    <n v="76500"/>
    <n v="56240.639999999999"/>
    <n v="20259.36"/>
    <s v="UPI"/>
    <d v="2025-01-06T00:00:00"/>
  </r>
  <r>
    <s v="ORD00426"/>
    <d v="2025-04-27T00:00:00"/>
    <x v="2"/>
    <x v="2"/>
    <x v="5"/>
    <s v="ABC Pvt Ltd"/>
    <x v="0"/>
    <s v="Keyboard"/>
    <n v="6"/>
    <n v="1500"/>
    <n v="10"/>
    <n v="8100"/>
    <n v="5946.24"/>
    <n v="2153.7600000000002"/>
    <s v="Net Banking"/>
    <d v="2025-04-27T00:00:00"/>
  </r>
  <r>
    <s v="ORD00427"/>
    <d v="2025-03-05T00:00:00"/>
    <x v="3"/>
    <x v="7"/>
    <x v="0"/>
    <s v="Vision Corp"/>
    <x v="2"/>
    <s v="USB Drive"/>
    <n v="4"/>
    <n v="900"/>
    <n v="0"/>
    <n v="3600"/>
    <n v="3140.77"/>
    <n v="459.23"/>
    <s v="UPI"/>
    <d v="2025-03-05T00:00:00"/>
  </r>
  <r>
    <s v="ORD00428"/>
    <d v="2025-09-01T00:00:00"/>
    <x v="1"/>
    <x v="8"/>
    <x v="2"/>
    <s v="Tech Solutions"/>
    <x v="2"/>
    <s v="Mouse"/>
    <n v="9"/>
    <n v="800"/>
    <n v="5"/>
    <n v="6840"/>
    <n v="5219.4399999999996"/>
    <n v="1620.56"/>
    <s v="Net Banking"/>
    <d v="2025-09-01T00:00:00"/>
  </r>
  <r>
    <s v="ORD00429"/>
    <d v="2025-12-04T00:00:00"/>
    <x v="3"/>
    <x v="7"/>
    <x v="1"/>
    <s v="Vision Corp"/>
    <x v="1"/>
    <s v="Desk"/>
    <n v="1"/>
    <n v="10000"/>
    <n v="10"/>
    <n v="9000"/>
    <n v="7533.05"/>
    <n v="1466.95"/>
    <s v="Net Banking"/>
    <d v="2025-12-04T00:00:00"/>
  </r>
  <r>
    <s v="ORD00430"/>
    <d v="2025-09-01T00:00:00"/>
    <x v="1"/>
    <x v="8"/>
    <x v="3"/>
    <s v="ABC Pvt Ltd"/>
    <x v="1"/>
    <s v="Office Chair"/>
    <n v="7"/>
    <n v="6000"/>
    <n v="0"/>
    <n v="42000"/>
    <n v="30887.37"/>
    <n v="11112.63"/>
    <s v="Card"/>
    <d v="2025-09-01T00:00:00"/>
  </r>
  <r>
    <s v="ORD00431"/>
    <d v="2025-05-17T00:00:00"/>
    <x v="3"/>
    <x v="3"/>
    <x v="2"/>
    <s v="Prime Stores"/>
    <x v="0"/>
    <s v="Keyboard"/>
    <n v="3"/>
    <n v="1500"/>
    <n v="10"/>
    <n v="4050"/>
    <n v="3120.25"/>
    <n v="929.75"/>
    <s v="UPI"/>
    <d v="2025-05-17T00:00:00"/>
  </r>
  <r>
    <s v="ORD00432"/>
    <d v="2025-05-28T00:00:00"/>
    <x v="1"/>
    <x v="1"/>
    <x v="3"/>
    <s v="Global Mart"/>
    <x v="2"/>
    <s v="Headset"/>
    <n v="4"/>
    <n v="2500"/>
    <n v="0"/>
    <n v="10000"/>
    <n v="7176.76"/>
    <n v="2823.24"/>
    <s v="UPI"/>
    <d v="2025-05-28T00:00:00"/>
  </r>
  <r>
    <s v="ORD00433"/>
    <d v="2025-02-05T00:00:00"/>
    <x v="3"/>
    <x v="3"/>
    <x v="1"/>
    <s v="Vision Corp"/>
    <x v="2"/>
    <s v="USB Drive"/>
    <n v="5"/>
    <n v="900"/>
    <n v="0"/>
    <n v="4500"/>
    <n v="4003.31"/>
    <n v="496.69"/>
    <s v="Net Banking"/>
    <d v="2025-02-05T00:00:00"/>
  </r>
  <r>
    <s v="ORD00434"/>
    <d v="2025-06-17T00:00:00"/>
    <x v="2"/>
    <x v="2"/>
    <x v="3"/>
    <s v="Prime Stores"/>
    <x v="0"/>
    <s v="Monitor"/>
    <n v="2"/>
    <n v="12000"/>
    <n v="10"/>
    <n v="21600"/>
    <n v="16100.13"/>
    <n v="5499.87"/>
    <s v="UPI"/>
    <d v="2025-06-17T00:00:00"/>
  </r>
  <r>
    <s v="ORD00435"/>
    <d v="2025-04-23T00:00:00"/>
    <x v="0"/>
    <x v="0"/>
    <x v="3"/>
    <s v="ABC Pvt Ltd"/>
    <x v="0"/>
    <s v="Monitor"/>
    <n v="4"/>
    <n v="12000"/>
    <n v="5"/>
    <n v="45600"/>
    <n v="37429.06"/>
    <n v="8170.94"/>
    <s v="Net Banking"/>
    <d v="2025-04-23T00:00:00"/>
  </r>
  <r>
    <s v="ORD00436"/>
    <d v="2025-05-28T00:00:00"/>
    <x v="1"/>
    <x v="8"/>
    <x v="3"/>
    <s v="XYZ Ltd"/>
    <x v="1"/>
    <s v="Desk"/>
    <n v="6"/>
    <n v="10000"/>
    <n v="15"/>
    <n v="51000"/>
    <n v="36719.339999999997"/>
    <n v="14280.66"/>
    <s v="UPI"/>
    <d v="2025-05-28T00:00:00"/>
  </r>
  <r>
    <s v="ORD00437"/>
    <d v="2025-06-05T00:00:00"/>
    <x v="1"/>
    <x v="6"/>
    <x v="2"/>
    <s v="Vision Corp"/>
    <x v="0"/>
    <s v="Laptop"/>
    <n v="6"/>
    <n v="55000"/>
    <n v="0"/>
    <n v="330000"/>
    <n v="275808.84999999998"/>
    <n v="54191.15"/>
    <s v="Card"/>
    <d v="2025-06-05T00:00:00"/>
  </r>
  <r>
    <s v="ORD00438"/>
    <d v="2025-06-21T00:00:00"/>
    <x v="0"/>
    <x v="0"/>
    <x v="3"/>
    <s v="ABC Pvt Ltd"/>
    <x v="0"/>
    <s v="Monitor"/>
    <n v="2"/>
    <n v="12000"/>
    <n v="10"/>
    <n v="21600"/>
    <n v="16320.23"/>
    <n v="5279.77"/>
    <s v="Card"/>
    <d v="2025-06-21T00:00:00"/>
  </r>
  <r>
    <s v="ORD00439"/>
    <d v="2025-05-18T00:00:00"/>
    <x v="3"/>
    <x v="3"/>
    <x v="4"/>
    <s v="Tech Solutions"/>
    <x v="1"/>
    <s v="Office Chair"/>
    <n v="6"/>
    <n v="6000"/>
    <n v="5"/>
    <n v="34200"/>
    <n v="22713.01"/>
    <n v="11486.99"/>
    <s v="Cash"/>
    <d v="2025-05-18T00:00:00"/>
  </r>
  <r>
    <s v="ORD00440"/>
    <d v="2025-01-25T00:00:00"/>
    <x v="0"/>
    <x v="5"/>
    <x v="2"/>
    <s v="Vision Corp"/>
    <x v="1"/>
    <s v="Desk"/>
    <n v="5"/>
    <n v="10000"/>
    <n v="0"/>
    <n v="50000"/>
    <n v="41572.86"/>
    <n v="8427.14"/>
    <s v="Net Banking"/>
    <d v="2025-01-25T00:00:00"/>
  </r>
  <r>
    <s v="ORD00441"/>
    <d v="2025-01-29T00:00:00"/>
    <x v="2"/>
    <x v="2"/>
    <x v="3"/>
    <s v="ABC Pvt Ltd"/>
    <x v="2"/>
    <s v="Mouse"/>
    <n v="3"/>
    <n v="800"/>
    <n v="10"/>
    <n v="2160"/>
    <n v="1469.94"/>
    <n v="690.06"/>
    <s v="Card"/>
    <d v="2025-01-29T00:00:00"/>
  </r>
  <r>
    <s v="ORD00442"/>
    <d v="2025-12-24T00:00:00"/>
    <x v="2"/>
    <x v="2"/>
    <x v="4"/>
    <s v="Prime Stores"/>
    <x v="1"/>
    <s v="Desk"/>
    <n v="2"/>
    <n v="10000"/>
    <n v="15"/>
    <n v="17000"/>
    <n v="14242.98"/>
    <n v="2757.02"/>
    <s v="UPI"/>
    <s v="24-Dec-2025"/>
  </r>
  <r>
    <s v="ORD00443"/>
    <d v="2025-09-23T00:00:00"/>
    <x v="0"/>
    <x v="5"/>
    <x v="0"/>
    <s v="Global Mart"/>
    <x v="1"/>
    <s v="Office Chair"/>
    <n v="9"/>
    <n v="6000"/>
    <n v="5"/>
    <n v="51300"/>
    <n v="38734.39"/>
    <n v="12565.61"/>
    <s v="Cash"/>
    <d v="2025-09-23T00:00:00"/>
  </r>
  <r>
    <s v="ORD00444"/>
    <d v="2025-02-27T00:00:00"/>
    <x v="0"/>
    <x v="0"/>
    <x v="5"/>
    <s v="Tech Solutions"/>
    <x v="0"/>
    <s v="Keyboard"/>
    <n v="10"/>
    <n v="1500"/>
    <n v="10"/>
    <n v="13500"/>
    <n v="9749.58"/>
    <n v="3750.42"/>
    <s v="Card"/>
    <d v="2025-02-27T00:00:00"/>
  </r>
  <r>
    <s v="ORD00445"/>
    <d v="2025-11-28T00:00:00"/>
    <x v="1"/>
    <x v="6"/>
    <x v="0"/>
    <s v="Global Mart"/>
    <x v="1"/>
    <s v="Office Chair"/>
    <n v="3"/>
    <n v="6000"/>
    <n v="0"/>
    <n v="18000"/>
    <n v="12235.53"/>
    <n v="5764.47"/>
    <s v="UPI"/>
    <d v="2025-11-28T00:00:00"/>
  </r>
  <r>
    <s v="ORD00446"/>
    <d v="2025-12-13T00:00:00"/>
    <x v="2"/>
    <x v="2"/>
    <x v="2"/>
    <s v="Global Mart"/>
    <x v="1"/>
    <s v="Desk"/>
    <n v="3"/>
    <n v="10000"/>
    <n v="0"/>
    <n v="30000"/>
    <n v="21949.96"/>
    <n v="8050.04"/>
    <s v="Cash"/>
    <d v="2025-12-13T00:00:00"/>
  </r>
  <r>
    <s v="ORD00447"/>
    <d v="2025-10-15T00:00:00"/>
    <x v="3"/>
    <x v="7"/>
    <x v="0"/>
    <s v="Global Mart"/>
    <x v="1"/>
    <s v="Desk"/>
    <n v="6"/>
    <n v="10000"/>
    <n v="5"/>
    <n v="57000"/>
    <n v="38938.53"/>
    <n v="18061.47"/>
    <s v="Net Banking"/>
    <d v="2025-10-15T00:00:00"/>
  </r>
  <r>
    <s v="ORD00448"/>
    <d v="2025-08-24T00:00:00"/>
    <x v="1"/>
    <x v="8"/>
    <x v="3"/>
    <s v="Prime Stores"/>
    <x v="1"/>
    <s v="Office Chair"/>
    <n v="4"/>
    <n v="6000"/>
    <n v="0"/>
    <n v="24000"/>
    <n v="20229.5"/>
    <n v="3770.5"/>
    <s v="UPI"/>
    <d v="2025-08-24T00:00:00"/>
  </r>
  <r>
    <s v="ORD00449"/>
    <d v="2025-03-16T00:00:00"/>
    <x v="0"/>
    <x v="5"/>
    <x v="1"/>
    <s v="Tech Solutions"/>
    <x v="1"/>
    <s v="Desk"/>
    <n v="8"/>
    <n v="10000"/>
    <n v="10"/>
    <n v="72000"/>
    <n v="63905.49"/>
    <n v="8094.51"/>
    <s v="Net Banking"/>
    <d v="2025-03-16T00:00:00"/>
  </r>
  <r>
    <s v="ORD00450"/>
    <d v="2025-09-12T00:00:00"/>
    <x v="2"/>
    <x v="2"/>
    <x v="4"/>
    <s v="Global Mart"/>
    <x v="2"/>
    <s v="USB Drive"/>
    <n v="1"/>
    <n v="900"/>
    <n v="10"/>
    <n v="810"/>
    <n v="528.1"/>
    <n v="281.89999999999998"/>
    <s v="UPI"/>
    <d v="2025-09-12T00:00:00"/>
  </r>
  <r>
    <s v="ORD00451"/>
    <d v="2025-04-09T00:00:00"/>
    <x v="2"/>
    <x v="4"/>
    <x v="5"/>
    <s v="Vision Corp"/>
    <x v="1"/>
    <s v="Desk"/>
    <n v="9"/>
    <n v="10000"/>
    <n v="10"/>
    <n v="81000"/>
    <n v="72778.97"/>
    <n v="8221.0300000000007"/>
    <s v="Cash"/>
    <d v="2025-04-09T00:00:00"/>
  </r>
  <r>
    <s v="ORD00452"/>
    <d v="2025-08-28T00:00:00"/>
    <x v="0"/>
    <x v="5"/>
    <x v="4"/>
    <s v="Prime Stores"/>
    <x v="0"/>
    <s v="Keyboard"/>
    <n v="2"/>
    <n v="1500"/>
    <n v="0"/>
    <n v="3000"/>
    <n v="2269.58"/>
    <n v="730.42"/>
    <s v="Cash"/>
    <d v="2025-08-28T00:00:00"/>
  </r>
  <r>
    <s v="ORD00453"/>
    <d v="2025-11-20T00:00:00"/>
    <x v="3"/>
    <x v="3"/>
    <x v="4"/>
    <s v="XYZ Ltd"/>
    <x v="1"/>
    <s v="Office Chair"/>
    <n v="3"/>
    <n v="6000"/>
    <n v="15"/>
    <n v="15300"/>
    <n v="10825.73"/>
    <n v="4474.2700000000004"/>
    <s v="Net Banking"/>
    <d v="2025-11-20T00:00:00"/>
  </r>
  <r>
    <s v="ORD00454"/>
    <d v="2025-05-05T00:00:00"/>
    <x v="3"/>
    <x v="3"/>
    <x v="1"/>
    <s v="ABC Pvt Ltd"/>
    <x v="1"/>
    <s v="Desk"/>
    <n v="3"/>
    <n v="10000"/>
    <n v="10"/>
    <n v="27000"/>
    <n v="17807.8"/>
    <n v="9192.2000000000007"/>
    <s v="Net Banking"/>
    <d v="2025-05-05T00:00:00"/>
  </r>
  <r>
    <s v="ORD00455"/>
    <d v="2025-11-15T00:00:00"/>
    <x v="0"/>
    <x v="0"/>
    <x v="1"/>
    <s v="Global Mart"/>
    <x v="2"/>
    <s v="Mouse"/>
    <n v="1"/>
    <n v="800"/>
    <n v="5"/>
    <n v="760"/>
    <n v="553.54999999999995"/>
    <n v="206.45"/>
    <s v="Net Banking"/>
    <s v="15-Nov-2025"/>
  </r>
  <r>
    <s v="ORD00456"/>
    <d v="2025-02-15T00:00:00"/>
    <x v="2"/>
    <x v="4"/>
    <x v="1"/>
    <s v="XYZ Ltd"/>
    <x v="1"/>
    <s v="Office Chair"/>
    <n v="9"/>
    <n v="6000"/>
    <n v="0"/>
    <n v="54000"/>
    <n v="39178.47"/>
    <n v="14821.53"/>
    <s v="Cash"/>
    <d v="2025-02-15T00:00:00"/>
  </r>
  <r>
    <s v="ORD00457"/>
    <d v="2025-07-02T00:00:00"/>
    <x v="1"/>
    <x v="6"/>
    <x v="5"/>
    <s v="XYZ Ltd"/>
    <x v="0"/>
    <s v="Keyboard"/>
    <n v="6"/>
    <n v="1500"/>
    <n v="15"/>
    <n v="7650"/>
    <n v="6536.16"/>
    <n v="1113.8399999999999"/>
    <s v="UPI"/>
    <d v="2025-07-02T00:00:00"/>
  </r>
  <r>
    <s v="ORD00458"/>
    <d v="2025-08-19T00:00:00"/>
    <x v="0"/>
    <x v="5"/>
    <x v="4"/>
    <s v="Tech Solutions"/>
    <x v="2"/>
    <s v="Mouse"/>
    <n v="6"/>
    <n v="800"/>
    <n v="5"/>
    <n v="4560"/>
    <n v="3502.87"/>
    <n v="1057.1300000000001"/>
    <s v="UPI"/>
    <d v="2025-08-19T00:00:00"/>
  </r>
  <r>
    <s v="ORD00459"/>
    <d v="2025-06-16T00:00:00"/>
    <x v="1"/>
    <x v="1"/>
    <x v="4"/>
    <s v="XYZ Ltd"/>
    <x v="0"/>
    <s v="Keyboard"/>
    <n v="7"/>
    <n v="1500"/>
    <n v="0"/>
    <n v="10500"/>
    <n v="7315.39"/>
    <n v="3184.61"/>
    <s v="Card"/>
    <d v="2025-06-16T00:00:00"/>
  </r>
  <r>
    <s v="ORD00460"/>
    <d v="2025-07-08T00:00:00"/>
    <x v="3"/>
    <x v="7"/>
    <x v="1"/>
    <s v="Prime Stores"/>
    <x v="0"/>
    <s v="Laptop"/>
    <n v="4"/>
    <n v="55000"/>
    <n v="15"/>
    <n v="187000"/>
    <n v="131547.51"/>
    <n v="55452.49"/>
    <s v="UPI"/>
    <d v="2025-07-08T00:00:00"/>
  </r>
  <r>
    <s v="ORD00461"/>
    <d v="2025-06-23T00:00:00"/>
    <x v="2"/>
    <x v="2"/>
    <x v="2"/>
    <s v="Vision Corp"/>
    <x v="0"/>
    <s v="Laptop"/>
    <n v="4"/>
    <n v="55000"/>
    <n v="5"/>
    <n v="209000"/>
    <n v="158316.98000000001"/>
    <n v="50683.02"/>
    <s v="UPI"/>
    <d v="2025-06-23T00:00:00"/>
  </r>
  <r>
    <s v="ORD00462"/>
    <d v="2025-10-26T00:00:00"/>
    <x v="3"/>
    <x v="9"/>
    <x v="1"/>
    <s v="Global Mart"/>
    <x v="1"/>
    <s v="Office Chair"/>
    <n v="3"/>
    <n v="6000"/>
    <n v="15"/>
    <n v="15300"/>
    <n v="12437.58"/>
    <n v="2862.42"/>
    <s v="Cash"/>
    <d v="2025-10-26T00:00:00"/>
  </r>
  <r>
    <s v="ORD00463"/>
    <d v="2025-07-30T00:00:00"/>
    <x v="0"/>
    <x v="5"/>
    <x v="1"/>
    <s v="Global Mart"/>
    <x v="0"/>
    <s v="Laptop"/>
    <n v="6"/>
    <n v="55000"/>
    <n v="10"/>
    <n v="297000"/>
    <n v="241767.16"/>
    <n v="55232.84"/>
    <s v="Card"/>
    <d v="2025-07-30T00:00:00"/>
  </r>
  <r>
    <s v="ORD00464"/>
    <d v="2025-09-09T00:00:00"/>
    <x v="3"/>
    <x v="9"/>
    <x v="2"/>
    <s v="XYZ Ltd"/>
    <x v="2"/>
    <s v="USB Drive"/>
    <n v="3"/>
    <n v="900"/>
    <n v="15"/>
    <n v="2295"/>
    <n v="1861.78"/>
    <n v="433.22"/>
    <s v="Card"/>
    <d v="2025-09-09T00:00:00"/>
  </r>
  <r>
    <s v="ORD00465"/>
    <d v="2025-12-11T00:00:00"/>
    <x v="3"/>
    <x v="7"/>
    <x v="2"/>
    <s v="XYZ Ltd"/>
    <x v="2"/>
    <s v="Headset"/>
    <n v="4"/>
    <n v="2500"/>
    <n v="5"/>
    <n v="9500"/>
    <n v="8367.9699999999993"/>
    <n v="1132.03"/>
    <s v="Net Banking"/>
    <d v="2025-12-11T00:00:00"/>
  </r>
  <r>
    <s v="ORD00466"/>
    <d v="2025-04-04T00:00:00"/>
    <x v="3"/>
    <x v="9"/>
    <x v="4"/>
    <s v="Prime Stores"/>
    <x v="1"/>
    <s v="Desk"/>
    <n v="10"/>
    <n v="10000"/>
    <n v="10"/>
    <n v="90000"/>
    <n v="62267.45"/>
    <n v="27732.55"/>
    <s v="Net Banking"/>
    <d v="2025-04-04T00:00:00"/>
  </r>
  <r>
    <s v="ORD00467"/>
    <d v="2025-01-19T00:00:00"/>
    <x v="2"/>
    <x v="4"/>
    <x v="0"/>
    <s v="ABC Pvt Ltd"/>
    <x v="2"/>
    <s v="Mouse"/>
    <n v="1"/>
    <n v="800"/>
    <n v="5"/>
    <n v="760"/>
    <n v="589.63"/>
    <n v="170.37"/>
    <s v="Cash"/>
    <d v="2025-01-19T00:00:00"/>
  </r>
  <r>
    <s v="ORD00468"/>
    <d v="2025-09-10T00:00:00"/>
    <x v="0"/>
    <x v="0"/>
    <x v="5"/>
    <s v="Tech Solutions"/>
    <x v="2"/>
    <s v="Mouse"/>
    <n v="3"/>
    <n v="800"/>
    <n v="10"/>
    <n v="2160"/>
    <n v="1558.05"/>
    <n v="601.95000000000005"/>
    <s v="Cash"/>
    <d v="2025-09-10T00:00:00"/>
  </r>
  <r>
    <s v="ORD00469"/>
    <d v="2025-09-28T00:00:00"/>
    <x v="0"/>
    <x v="0"/>
    <x v="2"/>
    <s v="ABC Pvt Ltd"/>
    <x v="0"/>
    <s v="Keyboard"/>
    <n v="10"/>
    <n v="1500"/>
    <n v="10"/>
    <n v="13500"/>
    <n v="10497.87"/>
    <n v="3002.13"/>
    <s v="Cash"/>
    <d v="2025-09-28T00:00:00"/>
  </r>
  <r>
    <s v="ORD00470"/>
    <d v="2025-12-08T00:00:00"/>
    <x v="1"/>
    <x v="1"/>
    <x v="0"/>
    <s v="Global Mart"/>
    <x v="0"/>
    <s v="Keyboard"/>
    <n v="8"/>
    <n v="1500"/>
    <n v="0"/>
    <n v="12000"/>
    <n v="9506.77"/>
    <n v="2493.23"/>
    <s v="Card"/>
    <d v="2025-12-08T00:00:00"/>
  </r>
  <r>
    <s v="ORD00471"/>
    <d v="2025-10-26T00:00:00"/>
    <x v="0"/>
    <x v="0"/>
    <x v="5"/>
    <s v="XYZ Ltd"/>
    <x v="0"/>
    <s v="Laptop"/>
    <n v="7"/>
    <n v="55000"/>
    <n v="5"/>
    <n v="365750"/>
    <n v="315666.78999999998"/>
    <n v="50083.21"/>
    <s v="Cash"/>
    <d v="2025-10-26T00:00:00"/>
  </r>
  <r>
    <s v="ORD00472"/>
    <d v="2025-02-23T00:00:00"/>
    <x v="3"/>
    <x v="7"/>
    <x v="1"/>
    <s v="XYZ Ltd"/>
    <x v="0"/>
    <s v="Monitor"/>
    <n v="4"/>
    <n v="12000"/>
    <n v="10"/>
    <n v="43200"/>
    <n v="32132.09"/>
    <n v="11067.91"/>
    <s v="Cash"/>
    <d v="2025-02-23T00:00:00"/>
  </r>
  <r>
    <s v="ORD00473"/>
    <d v="2025-12-26T00:00:00"/>
    <x v="0"/>
    <x v="0"/>
    <x v="2"/>
    <s v="Tech Solutions"/>
    <x v="1"/>
    <s v="Desk"/>
    <n v="5"/>
    <n v="10000"/>
    <n v="0"/>
    <n v="50000"/>
    <n v="39497.51"/>
    <n v="10502.49"/>
    <s v="Card"/>
    <d v="2025-12-26T00:00:00"/>
  </r>
  <r>
    <s v="ORD00474"/>
    <d v="2025-05-20T00:00:00"/>
    <x v="3"/>
    <x v="7"/>
    <x v="1"/>
    <s v="Prime Stores"/>
    <x v="2"/>
    <s v="Mouse"/>
    <n v="10"/>
    <n v="800"/>
    <n v="10"/>
    <n v="7200"/>
    <n v="5268.63"/>
    <n v="1931.37"/>
    <s v="UPI"/>
    <d v="2025-05-20T00:00:00"/>
  </r>
  <r>
    <s v="ORD00475"/>
    <d v="2025-11-10T00:00:00"/>
    <x v="1"/>
    <x v="1"/>
    <x v="3"/>
    <s v="Tech Solutions"/>
    <x v="1"/>
    <s v="Office Chair"/>
    <n v="5"/>
    <n v="6000"/>
    <n v="10"/>
    <n v="27000"/>
    <n v="19344.13"/>
    <n v="7655.87"/>
    <s v="Net Banking"/>
    <d v="2025-11-10T00:00:00"/>
  </r>
  <r>
    <s v="ORD00476"/>
    <d v="2025-03-21T00:00:00"/>
    <x v="2"/>
    <x v="2"/>
    <x v="5"/>
    <s v="Prime Stores"/>
    <x v="0"/>
    <s v="Monitor"/>
    <n v="8"/>
    <n v="12000"/>
    <n v="5"/>
    <n v="91200"/>
    <n v="64623.43"/>
    <n v="26576.57"/>
    <s v="Cash"/>
    <d v="2025-03-21T00:00:00"/>
  </r>
  <r>
    <s v="ORD00477"/>
    <d v="2025-06-30T00:00:00"/>
    <x v="2"/>
    <x v="2"/>
    <x v="1"/>
    <s v="Tech Solutions"/>
    <x v="0"/>
    <s v="Monitor"/>
    <n v="9"/>
    <n v="12000"/>
    <n v="5"/>
    <n v="102600"/>
    <n v="89713.51"/>
    <n v="12886.49"/>
    <s v="Net Banking"/>
    <d v="2025-06-30T00:00:00"/>
  </r>
  <r>
    <s v="ORD00478"/>
    <d v="2025-09-07T00:00:00"/>
    <x v="3"/>
    <x v="3"/>
    <x v="0"/>
    <s v="Vision Corp"/>
    <x v="1"/>
    <s v="Office Chair"/>
    <n v="4"/>
    <n v="6000"/>
    <n v="0"/>
    <n v="24000"/>
    <n v="21369.360000000001"/>
    <n v="2630.64"/>
    <s v="Card"/>
    <d v="2025-09-07T00:00:00"/>
  </r>
  <r>
    <s v="ORD00479"/>
    <d v="2025-01-25T00:00:00"/>
    <x v="2"/>
    <x v="2"/>
    <x v="2"/>
    <s v="Vision Corp"/>
    <x v="1"/>
    <s v="Desk"/>
    <n v="9"/>
    <n v="10000"/>
    <n v="5"/>
    <n v="85500"/>
    <n v="68846.86"/>
    <n v="16653.14"/>
    <s v="Card"/>
    <d v="2025-01-25T00:00:00"/>
  </r>
  <r>
    <s v="ORD00480"/>
    <d v="2025-02-15T00:00:00"/>
    <x v="1"/>
    <x v="6"/>
    <x v="0"/>
    <s v="Tech Solutions"/>
    <x v="1"/>
    <s v="Office Chair"/>
    <n v="7"/>
    <n v="6000"/>
    <n v="15"/>
    <n v="35700"/>
    <n v="26341.84"/>
    <n v="9358.16"/>
    <s v="Cash"/>
    <d v="2025-02-15T00:00:00"/>
  </r>
  <r>
    <s v="ORD00481"/>
    <d v="2025-07-12T00:00:00"/>
    <x v="1"/>
    <x v="8"/>
    <x v="3"/>
    <s v="Prime Stores"/>
    <x v="2"/>
    <s v="Mouse"/>
    <n v="9"/>
    <n v="800"/>
    <n v="0"/>
    <n v="7200"/>
    <n v="5357.74"/>
    <n v="1842.26"/>
    <s v="Net Banking"/>
    <d v="2025-07-12T00:00:00"/>
  </r>
  <r>
    <s v="ORD00482"/>
    <d v="2025-11-18T00:00:00"/>
    <x v="0"/>
    <x v="0"/>
    <x v="4"/>
    <s v="Tech Solutions"/>
    <x v="2"/>
    <s v="Headset"/>
    <n v="5"/>
    <n v="2500"/>
    <n v="5"/>
    <n v="11875"/>
    <n v="9550.83"/>
    <n v="2324.17"/>
    <s v="Card"/>
    <d v="2025-11-18T00:00:00"/>
  </r>
  <r>
    <s v="ORD00483"/>
    <d v="2025-01-14T00:00:00"/>
    <x v="1"/>
    <x v="6"/>
    <x v="4"/>
    <s v="Prime Stores"/>
    <x v="1"/>
    <s v="Office Chair"/>
    <n v="3"/>
    <n v="6000"/>
    <n v="0"/>
    <n v="18000"/>
    <n v="13263.34"/>
    <n v="4736.66"/>
    <s v="Cash"/>
    <d v="2025-01-14T00:00:00"/>
  </r>
  <r>
    <s v="ORD00484"/>
    <d v="2025-04-01T00:00:00"/>
    <x v="3"/>
    <x v="9"/>
    <x v="5"/>
    <s v="ABC Pvt Ltd"/>
    <x v="2"/>
    <s v="USB Drive"/>
    <n v="8"/>
    <n v="900"/>
    <n v="5"/>
    <n v="6840"/>
    <n v="5836.64"/>
    <n v="1003.36"/>
    <s v="Card"/>
    <d v="2025-04-01T00:00:00"/>
  </r>
  <r>
    <s v="ORD00485"/>
    <d v="2025-04-18T00:00:00"/>
    <x v="2"/>
    <x v="4"/>
    <x v="2"/>
    <s v="Tech Solutions"/>
    <x v="1"/>
    <s v="Office Chair"/>
    <n v="5"/>
    <n v="6000"/>
    <n v="5"/>
    <n v="28500"/>
    <n v="22289.38"/>
    <n v="6210.62"/>
    <s v="Net Banking"/>
    <d v="2025-04-18T00:00:00"/>
  </r>
  <r>
    <s v="ORD00486"/>
    <d v="2025-01-25T00:00:00"/>
    <x v="1"/>
    <x v="1"/>
    <x v="1"/>
    <s v="Prime Stores"/>
    <x v="0"/>
    <s v="Monitor"/>
    <n v="10"/>
    <n v="12000"/>
    <n v="15"/>
    <n v="102000"/>
    <n v="91494.44"/>
    <n v="10505.56"/>
    <s v="Card"/>
    <d v="2025-01-25T00:00:00"/>
  </r>
  <r>
    <s v="ORD00487"/>
    <d v="2025-02-28T00:00:00"/>
    <x v="1"/>
    <x v="1"/>
    <x v="0"/>
    <s v="Tech Solutions"/>
    <x v="1"/>
    <s v="Desk"/>
    <n v="1"/>
    <n v="10000"/>
    <n v="10"/>
    <n v="9000"/>
    <n v="6098.52"/>
    <n v="2901.48"/>
    <s v="Card"/>
    <d v="2025-02-28T00:00:00"/>
  </r>
  <r>
    <s v="ORD00488"/>
    <d v="2025-03-07T00:00:00"/>
    <x v="0"/>
    <x v="5"/>
    <x v="3"/>
    <s v="Tech Solutions"/>
    <x v="1"/>
    <s v="Desk"/>
    <n v="5"/>
    <n v="10000"/>
    <n v="5"/>
    <n v="47500"/>
    <n v="38310.480000000003"/>
    <n v="9189.52"/>
    <s v="Card"/>
    <d v="2025-03-07T00:00:00"/>
  </r>
  <r>
    <s v="ORD00489"/>
    <d v="2025-06-24T00:00:00"/>
    <x v="2"/>
    <x v="2"/>
    <x v="4"/>
    <s v="Global Mart"/>
    <x v="0"/>
    <s v="Keyboard"/>
    <n v="6"/>
    <n v="1500"/>
    <n v="0"/>
    <n v="9000"/>
    <n v="8083.31"/>
    <n v="916.69"/>
    <s v="Card"/>
    <d v="2025-06-24T00:00:00"/>
  </r>
  <r>
    <s v="ORD00490"/>
    <d v="2025-08-04T00:00:00"/>
    <x v="2"/>
    <x v="4"/>
    <x v="1"/>
    <s v="Vision Corp"/>
    <x v="0"/>
    <s v="Laptop"/>
    <n v="4"/>
    <n v="55000"/>
    <n v="0"/>
    <n v="220000"/>
    <n v="196896.4"/>
    <n v="23103.599999999999"/>
    <s v="Cash"/>
    <d v="2025-08-04T00:00:00"/>
  </r>
  <r>
    <s v="ORD00491"/>
    <d v="2025-04-17T00:00:00"/>
    <x v="3"/>
    <x v="7"/>
    <x v="1"/>
    <s v="XYZ Ltd"/>
    <x v="2"/>
    <s v="Mouse"/>
    <n v="4"/>
    <n v="800"/>
    <n v="5"/>
    <n v="3040"/>
    <n v="1989.37"/>
    <n v="1050.6300000000001"/>
    <s v="Card"/>
    <d v="2025-04-17T00:00:00"/>
  </r>
  <r>
    <s v="ORD00492"/>
    <d v="2025-02-26T00:00:00"/>
    <x v="3"/>
    <x v="3"/>
    <x v="5"/>
    <s v="ABC Pvt Ltd"/>
    <x v="1"/>
    <s v="Office Chair"/>
    <n v="7"/>
    <n v="6000"/>
    <n v="10"/>
    <n v="37800"/>
    <n v="25119.27"/>
    <n v="12680.73"/>
    <s v="Cash"/>
    <d v="2025-02-26T00:00:00"/>
  </r>
  <r>
    <s v="ORD00493"/>
    <d v="2025-04-20T00:00:00"/>
    <x v="1"/>
    <x v="8"/>
    <x v="3"/>
    <s v="Global Mart"/>
    <x v="1"/>
    <s v="Desk"/>
    <n v="5"/>
    <n v="10000"/>
    <n v="10"/>
    <n v="45000"/>
    <n v="35079.57"/>
    <n v="9920.43"/>
    <s v="Card"/>
    <d v="2025-04-20T00:00:00"/>
  </r>
  <r>
    <s v="ORD00494"/>
    <d v="2025-10-15T00:00:00"/>
    <x v="1"/>
    <x v="8"/>
    <x v="5"/>
    <s v="Prime Stores"/>
    <x v="1"/>
    <s v="Desk"/>
    <n v="7"/>
    <n v="10000"/>
    <n v="15"/>
    <n v="59500"/>
    <n v="45330.27"/>
    <n v="14169.73"/>
    <s v="Card"/>
    <d v="2025-10-15T00:00:00"/>
  </r>
  <r>
    <s v="ORD00495"/>
    <d v="2025-07-07T00:00:00"/>
    <x v="3"/>
    <x v="7"/>
    <x v="2"/>
    <s v="ABC Pvt Ltd"/>
    <x v="2"/>
    <s v="USB Drive"/>
    <n v="5"/>
    <n v="900"/>
    <n v="10"/>
    <n v="4050"/>
    <n v="2849.51"/>
    <n v="1200.49"/>
    <s v="Cash"/>
    <d v="2025-07-07T00:00:00"/>
  </r>
  <r>
    <s v="ORD00496"/>
    <d v="2025-12-31T00:00:00"/>
    <x v="1"/>
    <x v="1"/>
    <x v="3"/>
    <s v="Global Mart"/>
    <x v="0"/>
    <s v="Keyboard"/>
    <n v="8"/>
    <n v="1500"/>
    <n v="10"/>
    <n v="10800"/>
    <n v="7649.64"/>
    <n v="3150.36"/>
    <s v="Card"/>
    <d v="2025-12-31T00:00:00"/>
  </r>
  <r>
    <s v="ORD00497"/>
    <d v="2025-01-03T00:00:00"/>
    <x v="1"/>
    <x v="1"/>
    <x v="3"/>
    <s v="XYZ Ltd"/>
    <x v="0"/>
    <s v="Laptop"/>
    <n v="10"/>
    <n v="55000"/>
    <n v="10"/>
    <n v="495000"/>
    <n v="395817.72"/>
    <n v="99182.28"/>
    <s v="Net Banking"/>
    <d v="2025-01-03T00:00:00"/>
  </r>
  <r>
    <s v="ORD00498"/>
    <d v="2025-03-02T00:00:00"/>
    <x v="2"/>
    <x v="4"/>
    <x v="0"/>
    <s v="Prime Stores"/>
    <x v="0"/>
    <s v="Laptop"/>
    <n v="1"/>
    <n v="55000"/>
    <n v="10"/>
    <n v="49500"/>
    <n v="39326.07"/>
    <n v="10173.93"/>
    <s v="Net Banking"/>
    <d v="2025-03-02T00:00:00"/>
  </r>
  <r>
    <s v="ORD00499"/>
    <d v="2025-05-30T00:00:00"/>
    <x v="3"/>
    <x v="3"/>
    <x v="3"/>
    <s v="Global Mart"/>
    <x v="0"/>
    <s v="Monitor"/>
    <n v="1"/>
    <n v="12000"/>
    <n v="5"/>
    <n v="11400"/>
    <n v="9641.4"/>
    <n v="1758.6"/>
    <s v="Card"/>
    <d v="2025-05-30T00:00:00"/>
  </r>
  <r>
    <s v="ORD00500"/>
    <d v="2025-12-05T00:00:00"/>
    <x v="0"/>
    <x v="0"/>
    <x v="4"/>
    <s v="XYZ Ltd"/>
    <x v="0"/>
    <s v="Keyboard"/>
    <n v="8"/>
    <n v="1500"/>
    <n v="15"/>
    <n v="10200"/>
    <n v="6851.53"/>
    <n v="3348.47"/>
    <s v="Cash"/>
    <d v="2025-12-05T00:00:00"/>
  </r>
  <r>
    <m/>
    <m/>
    <x v="4"/>
    <x v="10"/>
    <x v="6"/>
    <m/>
    <x v="3"/>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43A082-7AD6-4384-9DB4-505BBA44F20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Region">
  <location ref="A3:B8" firstHeaderRow="1" firstDataRow="1" firstDataCol="1"/>
  <pivotFields count="15">
    <pivotField showAll="0"/>
    <pivotField showAll="0"/>
    <pivotField axis="axisRow" showAll="0">
      <items count="5">
        <item x="2"/>
        <item x="1"/>
        <item x="3"/>
        <item x="0"/>
        <item t="default"/>
      </items>
    </pivotField>
    <pivotField showAll="0"/>
    <pivotField showAll="0"/>
    <pivotField showAll="0"/>
    <pivotField showAll="0">
      <items count="4">
        <item x="2"/>
        <item x="0"/>
        <item x="1"/>
        <item t="default"/>
      </items>
    </pivotField>
    <pivotField showAll="0"/>
    <pivotField showAll="0"/>
    <pivotField showAll="0"/>
    <pivotField showAll="0"/>
    <pivotField dataField="1" showAll="0"/>
    <pivotField showAll="0"/>
    <pivotField showAll="0"/>
    <pivotField showAll="0"/>
  </pivotFields>
  <rowFields count="1">
    <field x="2"/>
  </rowFields>
  <rowItems count="5">
    <i>
      <x/>
    </i>
    <i>
      <x v="1"/>
    </i>
    <i>
      <x v="2"/>
    </i>
    <i>
      <x v="3"/>
    </i>
    <i t="grand">
      <x/>
    </i>
  </rowItems>
  <colItems count="1">
    <i/>
  </colItems>
  <dataFields count="1">
    <dataField name="Sum of Sales" fld="11" baseField="0" baseItem="0"/>
  </dataFields>
  <formats count="18">
    <format dxfId="202">
      <pivotArea type="all" dataOnly="0" outline="0" fieldPosition="0"/>
    </format>
    <format dxfId="201">
      <pivotArea outline="0" collapsedLevelsAreSubtotals="1" fieldPosition="0"/>
    </format>
    <format dxfId="200">
      <pivotArea field="2" type="button" dataOnly="0" labelOnly="1" outline="0" axis="axisRow" fieldPosition="0"/>
    </format>
    <format dxfId="199">
      <pivotArea dataOnly="0" labelOnly="1" fieldPosition="0">
        <references count="1">
          <reference field="2" count="0"/>
        </references>
      </pivotArea>
    </format>
    <format dxfId="198">
      <pivotArea dataOnly="0" labelOnly="1" grandRow="1" outline="0" fieldPosition="0"/>
    </format>
    <format dxfId="197">
      <pivotArea dataOnly="0" labelOnly="1" outline="0" axis="axisValues" fieldPosition="0"/>
    </format>
    <format dxfId="196">
      <pivotArea type="all" dataOnly="0" outline="0" fieldPosition="0"/>
    </format>
    <format dxfId="195">
      <pivotArea outline="0" collapsedLevelsAreSubtotals="1" fieldPosition="0"/>
    </format>
    <format dxfId="194">
      <pivotArea field="2" type="button" dataOnly="0" labelOnly="1" outline="0" axis="axisRow" fieldPosition="0"/>
    </format>
    <format dxfId="193">
      <pivotArea dataOnly="0" labelOnly="1" fieldPosition="0">
        <references count="1">
          <reference field="2" count="0"/>
        </references>
      </pivotArea>
    </format>
    <format dxfId="192">
      <pivotArea dataOnly="0" labelOnly="1" grandRow="1" outline="0" fieldPosition="0"/>
    </format>
    <format dxfId="191">
      <pivotArea dataOnly="0" labelOnly="1" outline="0" axis="axisValues" fieldPosition="0"/>
    </format>
    <format dxfId="190">
      <pivotArea type="all" dataOnly="0" outline="0" fieldPosition="0"/>
    </format>
    <format dxfId="189">
      <pivotArea outline="0" collapsedLevelsAreSubtotals="1" fieldPosition="0"/>
    </format>
    <format dxfId="188">
      <pivotArea field="2" type="button" dataOnly="0" labelOnly="1" outline="0" axis="axisRow" fieldPosition="0"/>
    </format>
    <format dxfId="187">
      <pivotArea dataOnly="0" labelOnly="1" fieldPosition="0">
        <references count="1">
          <reference field="2" count="0"/>
        </references>
      </pivotArea>
    </format>
    <format dxfId="186">
      <pivotArea dataOnly="0" labelOnly="1" grandRow="1" outline="0" fieldPosition="0"/>
    </format>
    <format dxfId="185">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EAB973-A99E-4519-973F-BAFF07A530B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 Category">
  <location ref="A3:B7" firstHeaderRow="1" firstDataRow="1" firstDataCol="1"/>
  <pivotFields count="15">
    <pivotField showAll="0"/>
    <pivotField showAll="0"/>
    <pivotField showAll="0">
      <items count="5">
        <item x="2"/>
        <item x="1"/>
        <item x="3"/>
        <item x="0"/>
        <item t="default"/>
      </items>
    </pivotField>
    <pivotField showAll="0"/>
    <pivotField showAll="0"/>
    <pivotField showAll="0"/>
    <pivotField axis="axisRow" showAll="0">
      <items count="4">
        <item x="2"/>
        <item x="0"/>
        <item x="1"/>
        <item t="default"/>
      </items>
    </pivotField>
    <pivotField showAll="0"/>
    <pivotField showAll="0"/>
    <pivotField showAll="0"/>
    <pivotField showAll="0"/>
    <pivotField dataField="1" showAll="0"/>
    <pivotField showAll="0"/>
    <pivotField showAll="0"/>
    <pivotField showAll="0"/>
  </pivotFields>
  <rowFields count="1">
    <field x="6"/>
  </rowFields>
  <rowItems count="4">
    <i>
      <x/>
    </i>
    <i>
      <x v="1"/>
    </i>
    <i>
      <x v="2"/>
    </i>
    <i t="grand">
      <x/>
    </i>
  </rowItems>
  <colItems count="1">
    <i/>
  </colItems>
  <dataFields count="1">
    <dataField name="Sum of Sales" fld="11" baseField="0" baseItem="0"/>
  </dataFields>
  <formats count="18">
    <format dxfId="184">
      <pivotArea type="all" dataOnly="0" outline="0" fieldPosition="0"/>
    </format>
    <format dxfId="183">
      <pivotArea outline="0" collapsedLevelsAreSubtotals="1" fieldPosition="0"/>
    </format>
    <format dxfId="182">
      <pivotArea field="6" type="button" dataOnly="0" labelOnly="1" outline="0" axis="axisRow" fieldPosition="0"/>
    </format>
    <format dxfId="181">
      <pivotArea dataOnly="0" labelOnly="1" fieldPosition="0">
        <references count="1">
          <reference field="6" count="0"/>
        </references>
      </pivotArea>
    </format>
    <format dxfId="180">
      <pivotArea dataOnly="0" labelOnly="1" grandRow="1" outline="0" fieldPosition="0"/>
    </format>
    <format dxfId="179">
      <pivotArea dataOnly="0" labelOnly="1" outline="0" axis="axisValues" fieldPosition="0"/>
    </format>
    <format dxfId="178">
      <pivotArea type="all" dataOnly="0" outline="0" fieldPosition="0"/>
    </format>
    <format dxfId="177">
      <pivotArea outline="0" collapsedLevelsAreSubtotals="1" fieldPosition="0"/>
    </format>
    <format dxfId="176">
      <pivotArea field="6" type="button" dataOnly="0" labelOnly="1" outline="0" axis="axisRow" fieldPosition="0"/>
    </format>
    <format dxfId="175">
      <pivotArea dataOnly="0" labelOnly="1" fieldPosition="0">
        <references count="1">
          <reference field="6" count="0"/>
        </references>
      </pivotArea>
    </format>
    <format dxfId="174">
      <pivotArea dataOnly="0" labelOnly="1" grandRow="1" outline="0" fieldPosition="0"/>
    </format>
    <format dxfId="173">
      <pivotArea dataOnly="0" labelOnly="1" outline="0" axis="axisValues" fieldPosition="0"/>
    </format>
    <format dxfId="172">
      <pivotArea type="all" dataOnly="0" outline="0" fieldPosition="0"/>
    </format>
    <format dxfId="171">
      <pivotArea outline="0" collapsedLevelsAreSubtotals="1" fieldPosition="0"/>
    </format>
    <format dxfId="170">
      <pivotArea field="6" type="button" dataOnly="0" labelOnly="1" outline="0" axis="axisRow" fieldPosition="0"/>
    </format>
    <format dxfId="169">
      <pivotArea dataOnly="0" labelOnly="1" fieldPosition="0">
        <references count="1">
          <reference field="6" count="0"/>
        </references>
      </pivotArea>
    </format>
    <format dxfId="168">
      <pivotArea dataOnly="0" labelOnly="1" grandRow="1" outline="0" fieldPosition="0"/>
    </format>
    <format dxfId="167">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4"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0"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chartFormat="8" rowHeaderCaption="Sales Rep">
  <location ref="A1:B8"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axis="axisRow" showAll="0">
      <items count="7">
        <item x="2"/>
        <item x="3"/>
        <item x="5"/>
        <item x="0"/>
        <item x="1"/>
        <item x="4"/>
        <item t="default"/>
      </items>
    </pivotField>
    <pivotField showAll="0"/>
    <pivotField showAll="0"/>
    <pivotField showAll="0"/>
    <pivotField showAll="0"/>
    <pivotField showAll="0"/>
    <pivotField numFmtId="10" showAll="0"/>
    <pivotField dataField="1" numFmtId="2" showAll="0"/>
    <pivotField numFmtId="2" showAll="0"/>
    <pivotField showAll="0"/>
    <pivotField showAll="0"/>
    <pivotField showAll="0"/>
  </pivotFields>
  <rowFields count="1">
    <field x="4"/>
  </rowFields>
  <rowItems count="7">
    <i>
      <x/>
    </i>
    <i>
      <x v="1"/>
    </i>
    <i>
      <x v="2"/>
    </i>
    <i>
      <x v="3"/>
    </i>
    <i>
      <x v="4"/>
    </i>
    <i>
      <x v="5"/>
    </i>
    <i t="grand">
      <x/>
    </i>
  </rowItems>
  <colItems count="1">
    <i/>
  </colItems>
  <dataFields count="1">
    <dataField name="Sum of Sales" fld="11" baseField="0" baseItem="0"/>
  </dataFields>
  <formats count="18">
    <format dxfId="166">
      <pivotArea type="all" dataOnly="0" outline="0" fieldPosition="0"/>
    </format>
    <format dxfId="165">
      <pivotArea outline="0" collapsedLevelsAreSubtotals="1" fieldPosition="0"/>
    </format>
    <format dxfId="164">
      <pivotArea field="4" type="button" dataOnly="0" labelOnly="1" outline="0" axis="axisRow" fieldPosition="0"/>
    </format>
    <format dxfId="163">
      <pivotArea dataOnly="0" labelOnly="1" fieldPosition="0">
        <references count="1">
          <reference field="4" count="0"/>
        </references>
      </pivotArea>
    </format>
    <format dxfId="162">
      <pivotArea dataOnly="0" labelOnly="1" grandRow="1" outline="0" fieldPosition="0"/>
    </format>
    <format dxfId="161">
      <pivotArea dataOnly="0" labelOnly="1" outline="0" axis="axisValues" fieldPosition="0"/>
    </format>
    <format dxfId="160">
      <pivotArea type="all" dataOnly="0" outline="0" fieldPosition="0"/>
    </format>
    <format dxfId="159">
      <pivotArea outline="0" collapsedLevelsAreSubtotals="1" fieldPosition="0"/>
    </format>
    <format dxfId="158">
      <pivotArea field="4" type="button" dataOnly="0" labelOnly="1" outline="0" axis="axisRow" fieldPosition="0"/>
    </format>
    <format dxfId="157">
      <pivotArea dataOnly="0" labelOnly="1" fieldPosition="0">
        <references count="1">
          <reference field="4" count="0"/>
        </references>
      </pivotArea>
    </format>
    <format dxfId="156">
      <pivotArea dataOnly="0" labelOnly="1" grandRow="1" outline="0" fieldPosition="0"/>
    </format>
    <format dxfId="155">
      <pivotArea dataOnly="0" labelOnly="1" outline="0" axis="axisValues" fieldPosition="0"/>
    </format>
    <format dxfId="154">
      <pivotArea type="all" dataOnly="0" outline="0" fieldPosition="0"/>
    </format>
    <format dxfId="153">
      <pivotArea outline="0" collapsedLevelsAreSubtotals="1" fieldPosition="0"/>
    </format>
    <format dxfId="152">
      <pivotArea field="4" type="button" dataOnly="0" labelOnly="1" outline="0" axis="axisRow" fieldPosition="0"/>
    </format>
    <format dxfId="151">
      <pivotArea dataOnly="0" labelOnly="1" fieldPosition="0">
        <references count="1">
          <reference field="4" count="0"/>
        </references>
      </pivotArea>
    </format>
    <format dxfId="150">
      <pivotArea dataOnly="0" labelOnly="1" grandRow="1" outline="0" fieldPosition="0"/>
    </format>
    <format dxfId="14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chartFormat="11" rowHeaderCaption="Order Date(Month)">
  <location ref="A1:B14" firstHeaderRow="1" firstDataRow="1" firstDataCol="1"/>
  <pivotFields count="16">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items count="7">
        <item x="2"/>
        <item x="3"/>
        <item x="5"/>
        <item x="0"/>
        <item x="1"/>
        <item x="4"/>
        <item t="default"/>
      </items>
    </pivotField>
    <pivotField showAll="0"/>
    <pivotField showAll="0"/>
    <pivotField showAll="0"/>
    <pivotField showAll="0"/>
    <pivotField showAll="0"/>
    <pivotField numFmtId="10" showAll="0"/>
    <pivotField dataField="1" numFmtId="2" showAll="0"/>
    <pivotField numFmtId="2" showAll="0"/>
    <pivotField showAll="0"/>
    <pivotField showAll="0"/>
    <pivotField showAll="0"/>
  </pivotFields>
  <rowFields count="1">
    <field x="1"/>
  </rowFields>
  <rowItems count="13">
    <i>
      <x v="1"/>
    </i>
    <i>
      <x v="2"/>
    </i>
    <i>
      <x v="3"/>
    </i>
    <i>
      <x v="4"/>
    </i>
    <i>
      <x v="5"/>
    </i>
    <i>
      <x v="6"/>
    </i>
    <i>
      <x v="7"/>
    </i>
    <i>
      <x v="8"/>
    </i>
    <i>
      <x v="9"/>
    </i>
    <i>
      <x v="10"/>
    </i>
    <i>
      <x v="11"/>
    </i>
    <i>
      <x v="12"/>
    </i>
    <i t="grand">
      <x/>
    </i>
  </rowItems>
  <colItems count="1">
    <i/>
  </colItems>
  <dataFields count="1">
    <dataField name="Sum of Sales" fld="11" baseField="0" baseItem="0"/>
  </dataFields>
  <formats count="18">
    <format dxfId="148">
      <pivotArea type="all" dataOnly="0" outline="0" fieldPosition="0"/>
    </format>
    <format dxfId="147">
      <pivotArea outline="0" collapsedLevelsAreSubtotals="1" fieldPosition="0"/>
    </format>
    <format dxfId="146">
      <pivotArea field="1" type="button" dataOnly="0" labelOnly="1" outline="0" axis="axisRow" fieldPosition="0"/>
    </format>
    <format dxfId="145">
      <pivotArea dataOnly="0" labelOnly="1" fieldPosition="0">
        <references count="1">
          <reference field="1" count="12">
            <x v="1"/>
            <x v="2"/>
            <x v="3"/>
            <x v="4"/>
            <x v="5"/>
            <x v="6"/>
            <x v="7"/>
            <x v="8"/>
            <x v="9"/>
            <x v="10"/>
            <x v="11"/>
            <x v="12"/>
          </reference>
        </references>
      </pivotArea>
    </format>
    <format dxfId="144">
      <pivotArea dataOnly="0" labelOnly="1" grandRow="1" outline="0" fieldPosition="0"/>
    </format>
    <format dxfId="143">
      <pivotArea dataOnly="0" labelOnly="1" outline="0" axis="axisValues" fieldPosition="0"/>
    </format>
    <format dxfId="142">
      <pivotArea type="all" dataOnly="0" outline="0" fieldPosition="0"/>
    </format>
    <format dxfId="141">
      <pivotArea outline="0" collapsedLevelsAreSubtotals="1" fieldPosition="0"/>
    </format>
    <format dxfId="140">
      <pivotArea field="1" type="button" dataOnly="0" labelOnly="1" outline="0" axis="axisRow" fieldPosition="0"/>
    </format>
    <format dxfId="139">
      <pivotArea dataOnly="0" labelOnly="1" fieldPosition="0">
        <references count="1">
          <reference field="1" count="12">
            <x v="1"/>
            <x v="2"/>
            <x v="3"/>
            <x v="4"/>
            <x v="5"/>
            <x v="6"/>
            <x v="7"/>
            <x v="8"/>
            <x v="9"/>
            <x v="10"/>
            <x v="11"/>
            <x v="12"/>
          </reference>
        </references>
      </pivotArea>
    </format>
    <format dxfId="138">
      <pivotArea dataOnly="0" labelOnly="1" grandRow="1" outline="0" fieldPosition="0"/>
    </format>
    <format dxfId="137">
      <pivotArea dataOnly="0" labelOnly="1" outline="0" axis="axisValues" fieldPosition="0"/>
    </format>
    <format dxfId="136">
      <pivotArea type="all" dataOnly="0" outline="0" fieldPosition="0"/>
    </format>
    <format dxfId="135">
      <pivotArea outline="0" collapsedLevelsAreSubtotals="1" fieldPosition="0"/>
    </format>
    <format dxfId="134">
      <pivotArea field="1" type="button" dataOnly="0" labelOnly="1" outline="0" axis="axisRow" fieldPosition="0"/>
    </format>
    <format dxfId="133">
      <pivotArea dataOnly="0" labelOnly="1" fieldPosition="0">
        <references count="1">
          <reference field="1" count="12">
            <x v="1"/>
            <x v="2"/>
            <x v="3"/>
            <x v="4"/>
            <x v="5"/>
            <x v="6"/>
            <x v="7"/>
            <x v="8"/>
            <x v="9"/>
            <x v="10"/>
            <x v="11"/>
            <x v="12"/>
          </reference>
        </references>
      </pivotArea>
    </format>
    <format dxfId="132">
      <pivotArea dataOnly="0" labelOnly="1" grandRow="1" outline="0" fieldPosition="0"/>
    </format>
    <format dxfId="13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7C67B0-992C-4227-A617-C0F0A98BFEBF}" name="PivotTable1" cacheId="0"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rowHeaderCaption="Sales Rep">
  <location ref="A3:B10"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axis="axisRow" showAll="0" sortType="descending">
      <items count="7">
        <item x="4"/>
        <item x="1"/>
        <item x="0"/>
        <item x="5"/>
        <item x="3"/>
        <item x="2"/>
        <item t="default"/>
      </items>
    </pivotField>
    <pivotField showAll="0"/>
    <pivotField showAll="0"/>
    <pivotField showAll="0"/>
    <pivotField showAll="0"/>
    <pivotField showAll="0"/>
    <pivotField numFmtId="10" showAll="0"/>
    <pivotField dataField="1" numFmtId="2" showAll="0"/>
    <pivotField numFmtId="2" showAll="0"/>
    <pivotField showAll="0"/>
    <pivotField showAll="0"/>
    <pivotField showAll="0"/>
  </pivotFields>
  <rowFields count="1">
    <field x="4"/>
  </rowFields>
  <rowItems count="7">
    <i>
      <x/>
    </i>
    <i>
      <x v="1"/>
    </i>
    <i>
      <x v="2"/>
    </i>
    <i>
      <x v="3"/>
    </i>
    <i>
      <x v="4"/>
    </i>
    <i>
      <x v="5"/>
    </i>
    <i t="grand">
      <x/>
    </i>
  </rowItems>
  <colItems count="1">
    <i/>
  </colItems>
  <dataFields count="1">
    <dataField name="Sum of Sales" fld="11" baseField="0" baseItem="0"/>
  </dataFields>
  <formats count="18">
    <format dxfId="130">
      <pivotArea type="all" dataOnly="0" outline="0" fieldPosition="0"/>
    </format>
    <format dxfId="129">
      <pivotArea outline="0" collapsedLevelsAreSubtotals="1" fieldPosition="0"/>
    </format>
    <format dxfId="128">
      <pivotArea field="4" type="button" dataOnly="0" labelOnly="1" outline="0" axis="axisRow" fieldPosition="0"/>
    </format>
    <format dxfId="127">
      <pivotArea dataOnly="0" labelOnly="1" fieldPosition="0">
        <references count="1">
          <reference field="4" count="0"/>
        </references>
      </pivotArea>
    </format>
    <format dxfId="126">
      <pivotArea dataOnly="0" labelOnly="1" grandRow="1" outline="0" fieldPosition="0"/>
    </format>
    <format dxfId="125">
      <pivotArea dataOnly="0" labelOnly="1" outline="0" axis="axisValues" fieldPosition="0"/>
    </format>
    <format dxfId="124">
      <pivotArea type="all" dataOnly="0" outline="0" fieldPosition="0"/>
    </format>
    <format dxfId="123">
      <pivotArea outline="0" collapsedLevelsAreSubtotals="1" fieldPosition="0"/>
    </format>
    <format dxfId="122">
      <pivotArea field="4" type="button" dataOnly="0" labelOnly="1" outline="0" axis="axisRow" fieldPosition="0"/>
    </format>
    <format dxfId="121">
      <pivotArea dataOnly="0" labelOnly="1" fieldPosition="0">
        <references count="1">
          <reference field="4" count="0"/>
        </references>
      </pivotArea>
    </format>
    <format dxfId="120">
      <pivotArea dataOnly="0" labelOnly="1" grandRow="1" outline="0" fieldPosition="0"/>
    </format>
    <format dxfId="119">
      <pivotArea dataOnly="0" labelOnly="1" outline="0" axis="axisValues" fieldPosition="0"/>
    </format>
    <format dxfId="118">
      <pivotArea type="all" dataOnly="0" outline="0" fieldPosition="0"/>
    </format>
    <format dxfId="117">
      <pivotArea outline="0" collapsedLevelsAreSubtotals="1" fieldPosition="0"/>
    </format>
    <format dxfId="116">
      <pivotArea field="4" type="button" dataOnly="0" labelOnly="1" outline="0" axis="axisRow" fieldPosition="0"/>
    </format>
    <format dxfId="115">
      <pivotArea dataOnly="0" labelOnly="1" fieldPosition="0">
        <references count="1">
          <reference field="4" count="0"/>
        </references>
      </pivotArea>
    </format>
    <format dxfId="114">
      <pivotArea dataOnly="0" labelOnly="1" grandRow="1" outline="0" fieldPosition="0"/>
    </format>
    <format dxfId="1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DAA50C-9A3C-49F5-A4CD-6D5F00729F59}" name="PivotTable2" cacheId="0"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chartFormat="6" rowHeaderCaption="Region">
  <location ref="A3:B8"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axis="axisRow" showAll="0">
      <items count="5">
        <item x="2"/>
        <item x="1"/>
        <item x="3"/>
        <item x="0"/>
        <item t="default"/>
      </items>
    </pivotField>
    <pivotField showAll="0"/>
    <pivotField showAll="0">
      <items count="7">
        <item x="2"/>
        <item x="3"/>
        <item x="5"/>
        <item x="0"/>
        <item x="1"/>
        <item x="4"/>
        <item t="default"/>
      </items>
    </pivotField>
    <pivotField showAll="0"/>
    <pivotField showAll="0"/>
    <pivotField showAll="0"/>
    <pivotField showAll="0"/>
    <pivotField showAll="0"/>
    <pivotField numFmtId="10" showAll="0"/>
    <pivotField numFmtId="2" showAll="0"/>
    <pivotField numFmtId="2" showAll="0"/>
    <pivotField dataField="1" showAll="0"/>
    <pivotField showAll="0"/>
    <pivotField showAll="0"/>
  </pivotFields>
  <rowFields count="1">
    <field x="2"/>
  </rowFields>
  <rowItems count="5">
    <i>
      <x/>
    </i>
    <i>
      <x v="1"/>
    </i>
    <i>
      <x v="2"/>
    </i>
    <i>
      <x v="3"/>
    </i>
    <i t="grand">
      <x/>
    </i>
  </rowItems>
  <colItems count="1">
    <i/>
  </colItems>
  <dataFields count="1">
    <dataField name="Sum of Profit" fld="13" baseField="0" baseItem="0" numFmtId="164"/>
  </dataFields>
  <formats count="20">
    <format dxfId="112">
      <pivotArea type="all" dataOnly="0" outline="0" fieldPosition="0"/>
    </format>
    <format dxfId="111">
      <pivotArea outline="0" collapsedLevelsAreSubtotals="1" fieldPosition="0"/>
    </format>
    <format dxfId="110">
      <pivotArea field="2" type="button" dataOnly="0" labelOnly="1" outline="0" axis="axisRow" fieldPosition="0"/>
    </format>
    <format dxfId="109">
      <pivotArea dataOnly="0" labelOnly="1" fieldPosition="0">
        <references count="1">
          <reference field="2" count="0"/>
        </references>
      </pivotArea>
    </format>
    <format dxfId="108">
      <pivotArea dataOnly="0" labelOnly="1" grandRow="1" outline="0" fieldPosition="0"/>
    </format>
    <format dxfId="107">
      <pivotArea dataOnly="0" labelOnly="1" outline="0" axis="axisValues" fieldPosition="0"/>
    </format>
    <format dxfId="106">
      <pivotArea type="all" dataOnly="0" outline="0" fieldPosition="0"/>
    </format>
    <format dxfId="105">
      <pivotArea outline="0" collapsedLevelsAreSubtotals="1" fieldPosition="0"/>
    </format>
    <format dxfId="104">
      <pivotArea field="2" type="button" dataOnly="0" labelOnly="1" outline="0" axis="axisRow" fieldPosition="0"/>
    </format>
    <format dxfId="103">
      <pivotArea dataOnly="0" labelOnly="1" fieldPosition="0">
        <references count="1">
          <reference field="2" count="0"/>
        </references>
      </pivotArea>
    </format>
    <format dxfId="102">
      <pivotArea dataOnly="0" labelOnly="1" grandRow="1" outline="0" fieldPosition="0"/>
    </format>
    <format dxfId="101">
      <pivotArea dataOnly="0" labelOnly="1" outline="0" axis="axisValues" fieldPosition="0"/>
    </format>
    <format dxfId="100">
      <pivotArea type="all" dataOnly="0" outline="0" fieldPosition="0"/>
    </format>
    <format dxfId="99">
      <pivotArea outline="0" collapsedLevelsAreSubtotals="1" fieldPosition="0"/>
    </format>
    <format dxfId="98">
      <pivotArea field="2" type="button" dataOnly="0" labelOnly="1" outline="0" axis="axisRow" fieldPosition="0"/>
    </format>
    <format dxfId="97">
      <pivotArea dataOnly="0" labelOnly="1" fieldPosition="0">
        <references count="1">
          <reference field="2" count="0"/>
        </references>
      </pivotArea>
    </format>
    <format dxfId="96">
      <pivotArea dataOnly="0" labelOnly="1" grandRow="1" outline="0" fieldPosition="0"/>
    </format>
    <format dxfId="95">
      <pivotArea dataOnly="0" labelOnly="1" outline="0" axis="axisValues" fieldPosition="0"/>
    </format>
    <format dxfId="94">
      <pivotArea outline="0" collapsedLevelsAreSubtotals="1" fieldPosition="0"/>
    </format>
    <format dxfId="93">
      <pivotArea dataOnly="0" labelOnly="1" outline="0" axis="axisValues" fieldPosition="0"/>
    </format>
  </formats>
  <chartFormats count="10">
    <chartFormat chart="0" format="15" series="1">
      <pivotArea type="data" outline="0" fieldPosition="0">
        <references count="1">
          <reference field="4294967294" count="1" selected="0">
            <x v="0"/>
          </reference>
        </references>
      </pivotArea>
    </chartFormat>
    <chartFormat chart="0" format="16">
      <pivotArea type="data" outline="0" fieldPosition="0">
        <references count="2">
          <reference field="4294967294" count="1" selected="0">
            <x v="0"/>
          </reference>
          <reference field="2" count="1" selected="0">
            <x v="0"/>
          </reference>
        </references>
      </pivotArea>
    </chartFormat>
    <chartFormat chart="0" format="17">
      <pivotArea type="data" outline="0" fieldPosition="0">
        <references count="2">
          <reference field="4294967294" count="1" selected="0">
            <x v="0"/>
          </reference>
          <reference field="2" count="1" selected="0">
            <x v="1"/>
          </reference>
        </references>
      </pivotArea>
    </chartFormat>
    <chartFormat chart="0" format="18">
      <pivotArea type="data" outline="0" fieldPosition="0">
        <references count="2">
          <reference field="4294967294" count="1" selected="0">
            <x v="0"/>
          </reference>
          <reference field="2" count="1" selected="0">
            <x v="2"/>
          </reference>
        </references>
      </pivotArea>
    </chartFormat>
    <chartFormat chart="0" format="19">
      <pivotArea type="data" outline="0" fieldPosition="0">
        <references count="2">
          <reference field="4294967294" count="1" selected="0">
            <x v="0"/>
          </reference>
          <reference field="2" count="1" selected="0">
            <x v="3"/>
          </reference>
        </references>
      </pivotArea>
    </chartFormat>
    <chartFormat chart="5" format="25" series="1">
      <pivotArea type="data" outline="0" fieldPosition="0">
        <references count="1">
          <reference field="4294967294" count="1" selected="0">
            <x v="0"/>
          </reference>
        </references>
      </pivotArea>
    </chartFormat>
    <chartFormat chart="5" format="26">
      <pivotArea type="data" outline="0" fieldPosition="0">
        <references count="2">
          <reference field="4294967294" count="1" selected="0">
            <x v="0"/>
          </reference>
          <reference field="2" count="1" selected="0">
            <x v="0"/>
          </reference>
        </references>
      </pivotArea>
    </chartFormat>
    <chartFormat chart="5" format="27">
      <pivotArea type="data" outline="0" fieldPosition="0">
        <references count="2">
          <reference field="4294967294" count="1" selected="0">
            <x v="0"/>
          </reference>
          <reference field="2" count="1" selected="0">
            <x v="1"/>
          </reference>
        </references>
      </pivotArea>
    </chartFormat>
    <chartFormat chart="5" format="28">
      <pivotArea type="data" outline="0" fieldPosition="0">
        <references count="2">
          <reference field="4294967294" count="1" selected="0">
            <x v="0"/>
          </reference>
          <reference field="2" count="1" selected="0">
            <x v="2"/>
          </reference>
        </references>
      </pivotArea>
    </chartFormat>
    <chartFormat chart="5" format="29">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42879F-4B85-49CE-998C-720CA07F7EC8}"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Category">
  <location ref="A3:B7" firstHeaderRow="1" firstDataRow="1" firstDataCol="1"/>
  <pivotFields count="16">
    <pivotField showAll="0"/>
    <pivotField showAll="0"/>
    <pivotField showAll="0"/>
    <pivotField showAll="0">
      <items count="12">
        <item h="1" x="6"/>
        <item h="1" x="5"/>
        <item x="1"/>
        <item h="1" x="7"/>
        <item x="0"/>
        <item h="1" x="2"/>
        <item x="8"/>
        <item h="1" x="9"/>
        <item x="3"/>
        <item h="1" x="4"/>
        <item h="1" x="10"/>
        <item t="default"/>
      </items>
    </pivotField>
    <pivotField showAll="0"/>
    <pivotField showAll="0"/>
    <pivotField axis="axisRow" showAll="0">
      <items count="5">
        <item x="2"/>
        <item x="0"/>
        <item x="1"/>
        <item h="1" x="3"/>
        <item t="default"/>
      </items>
    </pivotField>
    <pivotField showAll="0"/>
    <pivotField dataField="1"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Total Units Sold " fld="8" baseField="0" baseItem="0"/>
  </dataFields>
  <formats count="18">
    <format dxfId="92">
      <pivotArea type="all" dataOnly="0" outline="0" fieldPosition="0"/>
    </format>
    <format dxfId="91">
      <pivotArea outline="0" collapsedLevelsAreSubtotals="1" fieldPosition="0"/>
    </format>
    <format dxfId="90">
      <pivotArea field="6" type="button" dataOnly="0" labelOnly="1" outline="0" axis="axisRow" fieldPosition="0"/>
    </format>
    <format dxfId="89">
      <pivotArea dataOnly="0" labelOnly="1" fieldPosition="0">
        <references count="1">
          <reference field="6" count="0"/>
        </references>
      </pivotArea>
    </format>
    <format dxfId="88">
      <pivotArea dataOnly="0" labelOnly="1" grandRow="1" outline="0" fieldPosition="0"/>
    </format>
    <format dxfId="87">
      <pivotArea dataOnly="0" labelOnly="1" outline="0" axis="axisValues" fieldPosition="0"/>
    </format>
    <format dxfId="86">
      <pivotArea type="all" dataOnly="0" outline="0" fieldPosition="0"/>
    </format>
    <format dxfId="85">
      <pivotArea outline="0" collapsedLevelsAreSubtotals="1" fieldPosition="0"/>
    </format>
    <format dxfId="84">
      <pivotArea field="6" type="button" dataOnly="0" labelOnly="1" outline="0" axis="axisRow" fieldPosition="0"/>
    </format>
    <format dxfId="83">
      <pivotArea dataOnly="0" labelOnly="1" fieldPosition="0">
        <references count="1">
          <reference field="6" count="0"/>
        </references>
      </pivotArea>
    </format>
    <format dxfId="82">
      <pivotArea dataOnly="0" labelOnly="1" grandRow="1" outline="0" fieldPosition="0"/>
    </format>
    <format dxfId="81">
      <pivotArea dataOnly="0" labelOnly="1" outline="0" axis="axisValues" fieldPosition="0"/>
    </format>
    <format dxfId="80">
      <pivotArea type="all" dataOnly="0" outline="0" fieldPosition="0"/>
    </format>
    <format dxfId="79">
      <pivotArea outline="0" collapsedLevelsAreSubtotals="1" fieldPosition="0"/>
    </format>
    <format dxfId="78">
      <pivotArea field="6" type="button" dataOnly="0" labelOnly="1" outline="0" axis="axisRow" fieldPosition="0"/>
    </format>
    <format dxfId="77">
      <pivotArea dataOnly="0" labelOnly="1" fieldPosition="0">
        <references count="1">
          <reference field="6" count="0"/>
        </references>
      </pivotArea>
    </format>
    <format dxfId="76">
      <pivotArea dataOnly="0" labelOnly="1" grandRow="1" outline="0" fieldPosition="0"/>
    </format>
    <format dxfId="75">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6" count="1" selected="0">
            <x v="0"/>
          </reference>
        </references>
      </pivotArea>
    </chartFormat>
    <chartFormat chart="0" format="8">
      <pivotArea type="data" outline="0" fieldPosition="0">
        <references count="2">
          <reference field="4294967294" count="1" selected="0">
            <x v="0"/>
          </reference>
          <reference field="6" count="1" selected="0">
            <x v="1"/>
          </reference>
        </references>
      </pivotArea>
    </chartFormat>
    <chartFormat chart="0" format="9">
      <pivotArea type="data" outline="0" fieldPosition="0">
        <references count="2">
          <reference field="4294967294" count="1" selected="0">
            <x v="0"/>
          </reference>
          <reference field="6" count="1" selected="0">
            <x v="2"/>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6" count="1" selected="0">
            <x v="0"/>
          </reference>
        </references>
      </pivotArea>
    </chartFormat>
    <chartFormat chart="3" format="16">
      <pivotArea type="data" outline="0" fieldPosition="0">
        <references count="2">
          <reference field="4294967294" count="1" selected="0">
            <x v="0"/>
          </reference>
          <reference field="6" count="1" selected="0">
            <x v="1"/>
          </reference>
        </references>
      </pivotArea>
    </chartFormat>
    <chartFormat chart="3" format="17">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07D4162-7C89-4F11-8D46-A5E2157991D7}"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Region &amp; State">
  <location ref="A3:B11" firstHeaderRow="1" firstDataRow="1" firstDataCol="1"/>
  <pivotFields count="16">
    <pivotField showAll="0"/>
    <pivotField showAll="0"/>
    <pivotField axis="axisRow" showAll="0">
      <items count="6">
        <item x="2"/>
        <item x="1"/>
        <item x="3"/>
        <item x="0"/>
        <item x="4"/>
        <item t="default"/>
      </items>
    </pivotField>
    <pivotField axis="axisRow" showAll="0">
      <items count="12">
        <item h="1" x="6"/>
        <item h="1" x="5"/>
        <item x="1"/>
        <item h="1" x="7"/>
        <item x="0"/>
        <item h="1" x="2"/>
        <item x="8"/>
        <item h="1" x="9"/>
        <item x="3"/>
        <item h="1" x="4"/>
        <item h="1" x="1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s>
  <rowFields count="2">
    <field x="2"/>
    <field x="3"/>
  </rowFields>
  <rowItems count="8">
    <i>
      <x v="1"/>
    </i>
    <i r="1">
      <x v="2"/>
    </i>
    <i r="1">
      <x v="6"/>
    </i>
    <i>
      <x v="2"/>
    </i>
    <i r="1">
      <x v="8"/>
    </i>
    <i>
      <x v="3"/>
    </i>
    <i r="1">
      <x v="4"/>
    </i>
    <i t="grand">
      <x/>
    </i>
  </rowItems>
  <colItems count="1">
    <i/>
  </colItems>
  <dataFields count="1">
    <dataField name="Sum of Sales" fld="11" baseField="0" baseItem="0"/>
  </dataFields>
  <formats count="33">
    <format dxfId="74">
      <pivotArea type="all" dataOnly="0" outline="0" fieldPosition="0"/>
    </format>
    <format dxfId="73">
      <pivotArea outline="0" collapsedLevelsAreSubtotals="1" fieldPosition="0"/>
    </format>
    <format dxfId="72">
      <pivotArea field="2" type="button" dataOnly="0" labelOnly="1" outline="0" axis="axisRow" fieldPosition="0"/>
    </format>
    <format dxfId="71">
      <pivotArea dataOnly="0" labelOnly="1" fieldPosition="0">
        <references count="1">
          <reference field="2" count="0"/>
        </references>
      </pivotArea>
    </format>
    <format dxfId="70">
      <pivotArea dataOnly="0" labelOnly="1" grandRow="1" outline="0" fieldPosition="0"/>
    </format>
    <format dxfId="69">
      <pivotArea dataOnly="0" labelOnly="1" fieldPosition="0">
        <references count="2">
          <reference field="2" count="1" selected="0">
            <x v="0"/>
          </reference>
          <reference field="3" count="2">
            <x v="5"/>
            <x v="9"/>
          </reference>
        </references>
      </pivotArea>
    </format>
    <format dxfId="68">
      <pivotArea dataOnly="0" labelOnly="1" fieldPosition="0">
        <references count="2">
          <reference field="2" count="1" selected="0">
            <x v="1"/>
          </reference>
          <reference field="3" count="3">
            <x v="0"/>
            <x v="2"/>
            <x v="6"/>
          </reference>
        </references>
      </pivotArea>
    </format>
    <format dxfId="67">
      <pivotArea dataOnly="0" labelOnly="1" fieldPosition="0">
        <references count="2">
          <reference field="2" count="1" selected="0">
            <x v="2"/>
          </reference>
          <reference field="3" count="3">
            <x v="3"/>
            <x v="7"/>
            <x v="8"/>
          </reference>
        </references>
      </pivotArea>
    </format>
    <format dxfId="66">
      <pivotArea dataOnly="0" labelOnly="1" fieldPosition="0">
        <references count="2">
          <reference field="2" count="1" selected="0">
            <x v="3"/>
          </reference>
          <reference field="3" count="2">
            <x v="1"/>
            <x v="4"/>
          </reference>
        </references>
      </pivotArea>
    </format>
    <format dxfId="65">
      <pivotArea dataOnly="0" labelOnly="1" fieldPosition="0">
        <references count="2">
          <reference field="2" count="1" selected="0">
            <x v="4"/>
          </reference>
          <reference field="3" count="1">
            <x v="10"/>
          </reference>
        </references>
      </pivotArea>
    </format>
    <format dxfId="64">
      <pivotArea dataOnly="0" labelOnly="1" outline="0" axis="axisValues" fieldPosition="0"/>
    </format>
    <format dxfId="63">
      <pivotArea type="all" dataOnly="0" outline="0" fieldPosition="0"/>
    </format>
    <format dxfId="62">
      <pivotArea outline="0" collapsedLevelsAreSubtotals="1" fieldPosition="0"/>
    </format>
    <format dxfId="61">
      <pivotArea field="2" type="button" dataOnly="0" labelOnly="1" outline="0" axis="axisRow" fieldPosition="0"/>
    </format>
    <format dxfId="60">
      <pivotArea dataOnly="0" labelOnly="1" fieldPosition="0">
        <references count="1">
          <reference field="2" count="0"/>
        </references>
      </pivotArea>
    </format>
    <format dxfId="59">
      <pivotArea dataOnly="0" labelOnly="1" grandRow="1" outline="0" fieldPosition="0"/>
    </format>
    <format dxfId="58">
      <pivotArea dataOnly="0" labelOnly="1" fieldPosition="0">
        <references count="2">
          <reference field="2" count="1" selected="0">
            <x v="0"/>
          </reference>
          <reference field="3" count="2">
            <x v="5"/>
            <x v="9"/>
          </reference>
        </references>
      </pivotArea>
    </format>
    <format dxfId="57">
      <pivotArea dataOnly="0" labelOnly="1" fieldPosition="0">
        <references count="2">
          <reference field="2" count="1" selected="0">
            <x v="1"/>
          </reference>
          <reference field="3" count="3">
            <x v="0"/>
            <x v="2"/>
            <x v="6"/>
          </reference>
        </references>
      </pivotArea>
    </format>
    <format dxfId="56">
      <pivotArea dataOnly="0" labelOnly="1" fieldPosition="0">
        <references count="2">
          <reference field="2" count="1" selected="0">
            <x v="2"/>
          </reference>
          <reference field="3" count="3">
            <x v="3"/>
            <x v="7"/>
            <x v="8"/>
          </reference>
        </references>
      </pivotArea>
    </format>
    <format dxfId="55">
      <pivotArea dataOnly="0" labelOnly="1" fieldPosition="0">
        <references count="2">
          <reference field="2" count="1" selected="0">
            <x v="3"/>
          </reference>
          <reference field="3" count="2">
            <x v="1"/>
            <x v="4"/>
          </reference>
        </references>
      </pivotArea>
    </format>
    <format dxfId="54">
      <pivotArea dataOnly="0" labelOnly="1" fieldPosition="0">
        <references count="2">
          <reference field="2" count="1" selected="0">
            <x v="4"/>
          </reference>
          <reference field="3" count="1">
            <x v="10"/>
          </reference>
        </references>
      </pivotArea>
    </format>
    <format dxfId="53">
      <pivotArea dataOnly="0" labelOnly="1" outline="0" axis="axisValues" fieldPosition="0"/>
    </format>
    <format dxfId="52">
      <pivotArea type="all" dataOnly="0" outline="0" fieldPosition="0"/>
    </format>
    <format dxfId="51">
      <pivotArea outline="0" collapsedLevelsAreSubtotals="1" fieldPosition="0"/>
    </format>
    <format dxfId="50">
      <pivotArea field="2" type="button" dataOnly="0" labelOnly="1" outline="0" axis="axisRow" fieldPosition="0"/>
    </format>
    <format dxfId="49">
      <pivotArea dataOnly="0" labelOnly="1" fieldPosition="0">
        <references count="1">
          <reference field="2" count="0"/>
        </references>
      </pivotArea>
    </format>
    <format dxfId="48">
      <pivotArea dataOnly="0" labelOnly="1" grandRow="1" outline="0" fieldPosition="0"/>
    </format>
    <format dxfId="47">
      <pivotArea dataOnly="0" labelOnly="1" fieldPosition="0">
        <references count="2">
          <reference field="2" count="1" selected="0">
            <x v="0"/>
          </reference>
          <reference field="3" count="2">
            <x v="5"/>
            <x v="9"/>
          </reference>
        </references>
      </pivotArea>
    </format>
    <format dxfId="46">
      <pivotArea dataOnly="0" labelOnly="1" fieldPosition="0">
        <references count="2">
          <reference field="2" count="1" selected="0">
            <x v="1"/>
          </reference>
          <reference field="3" count="3">
            <x v="0"/>
            <x v="2"/>
            <x v="6"/>
          </reference>
        </references>
      </pivotArea>
    </format>
    <format dxfId="45">
      <pivotArea dataOnly="0" labelOnly="1" fieldPosition="0">
        <references count="2">
          <reference field="2" count="1" selected="0">
            <x v="2"/>
          </reference>
          <reference field="3" count="3">
            <x v="3"/>
            <x v="7"/>
            <x v="8"/>
          </reference>
        </references>
      </pivotArea>
    </format>
    <format dxfId="44">
      <pivotArea dataOnly="0" labelOnly="1" fieldPosition="0">
        <references count="2">
          <reference field="2" count="1" selected="0">
            <x v="3"/>
          </reference>
          <reference field="3" count="2">
            <x v="1"/>
            <x v="4"/>
          </reference>
        </references>
      </pivotArea>
    </format>
    <format dxfId="43">
      <pivotArea dataOnly="0" labelOnly="1" fieldPosition="0">
        <references count="2">
          <reference field="2" count="1" selected="0">
            <x v="4"/>
          </reference>
          <reference field="3" count="1">
            <x v="10"/>
          </reference>
        </references>
      </pivotArea>
    </format>
    <format dxfId="42">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A6BC5B-50C2-4C02-9A16-2095272BF921}"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1" firstHeaderRow="1" firstDataRow="1" firstDataCol="1"/>
  <pivotFields count="16">
    <pivotField showAll="0"/>
    <pivotField showAll="0"/>
    <pivotField axis="axisRow" showAll="0">
      <items count="6">
        <item x="2"/>
        <item x="1"/>
        <item x="3"/>
        <item x="0"/>
        <item h="1" x="4"/>
        <item t="default"/>
      </items>
    </pivotField>
    <pivotField axis="axisRow" showAll="0">
      <items count="12">
        <item h="1" x="6"/>
        <item h="1" x="5"/>
        <item x="1"/>
        <item h="1" x="7"/>
        <item x="0"/>
        <item h="1" x="2"/>
        <item x="8"/>
        <item h="1" x="9"/>
        <item x="3"/>
        <item h="1" x="4"/>
        <item h="1"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3"/>
  </rowFields>
  <rowItems count="8">
    <i>
      <x v="1"/>
    </i>
    <i r="1">
      <x v="2"/>
    </i>
    <i r="1">
      <x v="6"/>
    </i>
    <i>
      <x v="2"/>
    </i>
    <i r="1">
      <x v="8"/>
    </i>
    <i>
      <x v="3"/>
    </i>
    <i r="1">
      <x v="4"/>
    </i>
    <i t="grand">
      <x/>
    </i>
  </rowItems>
  <colItems count="1">
    <i/>
  </colItems>
  <formats count="24">
    <format dxfId="41">
      <pivotArea type="all" dataOnly="0" outline="0" fieldPosition="0"/>
    </format>
    <format dxfId="40">
      <pivotArea field="2" type="button" dataOnly="0" labelOnly="1" outline="0" axis="axisRow" fieldPosition="0"/>
    </format>
    <format dxfId="39">
      <pivotArea dataOnly="0" labelOnly="1" fieldPosition="0">
        <references count="1">
          <reference field="2" count="0"/>
        </references>
      </pivotArea>
    </format>
    <format dxfId="38">
      <pivotArea dataOnly="0" labelOnly="1" grandRow="1" outline="0" fieldPosition="0"/>
    </format>
    <format dxfId="37">
      <pivotArea dataOnly="0" labelOnly="1" fieldPosition="0">
        <references count="2">
          <reference field="2" count="1" selected="0">
            <x v="0"/>
          </reference>
          <reference field="3" count="2">
            <x v="5"/>
            <x v="9"/>
          </reference>
        </references>
      </pivotArea>
    </format>
    <format dxfId="36">
      <pivotArea dataOnly="0" labelOnly="1" fieldPosition="0">
        <references count="2">
          <reference field="2" count="1" selected="0">
            <x v="1"/>
          </reference>
          <reference field="3" count="3">
            <x v="0"/>
            <x v="2"/>
            <x v="6"/>
          </reference>
        </references>
      </pivotArea>
    </format>
    <format dxfId="35">
      <pivotArea dataOnly="0" labelOnly="1" fieldPosition="0">
        <references count="2">
          <reference field="2" count="1" selected="0">
            <x v="2"/>
          </reference>
          <reference field="3" count="3">
            <x v="3"/>
            <x v="7"/>
            <x v="8"/>
          </reference>
        </references>
      </pivotArea>
    </format>
    <format dxfId="34">
      <pivotArea dataOnly="0" labelOnly="1" fieldPosition="0">
        <references count="2">
          <reference field="2" count="1" selected="0">
            <x v="3"/>
          </reference>
          <reference field="3" count="2">
            <x v="1"/>
            <x v="4"/>
          </reference>
        </references>
      </pivotArea>
    </format>
    <format dxfId="33">
      <pivotArea type="all" dataOnly="0" outline="0" fieldPosition="0"/>
    </format>
    <format dxfId="32">
      <pivotArea field="2" type="button" dataOnly="0" labelOnly="1" outline="0" axis="axisRow" fieldPosition="0"/>
    </format>
    <format dxfId="31">
      <pivotArea dataOnly="0" labelOnly="1" fieldPosition="0">
        <references count="1">
          <reference field="2" count="0"/>
        </references>
      </pivotArea>
    </format>
    <format dxfId="30">
      <pivotArea dataOnly="0" labelOnly="1" grandRow="1" outline="0" fieldPosition="0"/>
    </format>
    <format dxfId="29">
      <pivotArea dataOnly="0" labelOnly="1" fieldPosition="0">
        <references count="2">
          <reference field="2" count="1" selected="0">
            <x v="0"/>
          </reference>
          <reference field="3" count="2">
            <x v="5"/>
            <x v="9"/>
          </reference>
        </references>
      </pivotArea>
    </format>
    <format dxfId="28">
      <pivotArea dataOnly="0" labelOnly="1" fieldPosition="0">
        <references count="2">
          <reference field="2" count="1" selected="0">
            <x v="1"/>
          </reference>
          <reference field="3" count="3">
            <x v="0"/>
            <x v="2"/>
            <x v="6"/>
          </reference>
        </references>
      </pivotArea>
    </format>
    <format dxfId="27">
      <pivotArea dataOnly="0" labelOnly="1" fieldPosition="0">
        <references count="2">
          <reference field="2" count="1" selected="0">
            <x v="2"/>
          </reference>
          <reference field="3" count="3">
            <x v="3"/>
            <x v="7"/>
            <x v="8"/>
          </reference>
        </references>
      </pivotArea>
    </format>
    <format dxfId="26">
      <pivotArea dataOnly="0" labelOnly="1" fieldPosition="0">
        <references count="2">
          <reference field="2" count="1" selected="0">
            <x v="3"/>
          </reference>
          <reference field="3" count="2">
            <x v="1"/>
            <x v="4"/>
          </reference>
        </references>
      </pivotArea>
    </format>
    <format dxfId="25">
      <pivotArea type="all" dataOnly="0" outline="0" fieldPosition="0"/>
    </format>
    <format dxfId="24">
      <pivotArea field="2" type="button" dataOnly="0" labelOnly="1" outline="0" axis="axisRow" fieldPosition="0"/>
    </format>
    <format dxfId="23">
      <pivotArea dataOnly="0" labelOnly="1" fieldPosition="0">
        <references count="1">
          <reference field="2" count="0"/>
        </references>
      </pivotArea>
    </format>
    <format dxfId="22">
      <pivotArea dataOnly="0" labelOnly="1" grandRow="1" outline="0" fieldPosition="0"/>
    </format>
    <format dxfId="21">
      <pivotArea dataOnly="0" labelOnly="1" fieldPosition="0">
        <references count="2">
          <reference field="2" count="1" selected="0">
            <x v="0"/>
          </reference>
          <reference field="3" count="2">
            <x v="5"/>
            <x v="9"/>
          </reference>
        </references>
      </pivotArea>
    </format>
    <format dxfId="20">
      <pivotArea dataOnly="0" labelOnly="1" fieldPosition="0">
        <references count="2">
          <reference field="2" count="1" selected="0">
            <x v="1"/>
          </reference>
          <reference field="3" count="3">
            <x v="0"/>
            <x v="2"/>
            <x v="6"/>
          </reference>
        </references>
      </pivotArea>
    </format>
    <format dxfId="19">
      <pivotArea dataOnly="0" labelOnly="1" fieldPosition="0">
        <references count="2">
          <reference field="2" count="1" selected="0">
            <x v="2"/>
          </reference>
          <reference field="3" count="3">
            <x v="3"/>
            <x v="7"/>
            <x v="8"/>
          </reference>
        </references>
      </pivotArea>
    </format>
    <format dxfId="18">
      <pivotArea dataOnly="0" labelOnly="1" fieldPosition="0">
        <references count="2">
          <reference field="2" count="1" selected="0">
            <x v="3"/>
          </reference>
          <reference field="3" count="2">
            <x v="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F98B1D1-C784-4F79-8546-3596EA9BDD4D}"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Category">
  <location ref="A3:B7" firstHeaderRow="1" firstDataRow="1" firstDataCol="1"/>
  <pivotFields count="16">
    <pivotField showAll="0"/>
    <pivotField showAll="0"/>
    <pivotField showAll="0"/>
    <pivotField showAll="0"/>
    <pivotField showAll="0"/>
    <pivotField showAll="0"/>
    <pivotField axis="axisRow" showAll="0">
      <items count="5">
        <item x="2"/>
        <item x="0"/>
        <item x="1"/>
        <item h="1" x="3"/>
        <item t="default"/>
      </items>
    </pivotField>
    <pivotField showAll="0"/>
    <pivotField showAll="0"/>
    <pivotField showAll="0"/>
    <pivotField showAll="0"/>
    <pivotField dataField="1" showAll="0"/>
    <pivotField showAll="0"/>
    <pivotField showAll="0"/>
    <pivotField showAll="0"/>
    <pivotField showAll="0"/>
  </pivotFields>
  <rowFields count="1">
    <field x="6"/>
  </rowFields>
  <rowItems count="4">
    <i>
      <x/>
    </i>
    <i>
      <x v="1"/>
    </i>
    <i>
      <x v="2"/>
    </i>
    <i t="grand">
      <x/>
    </i>
  </rowItems>
  <colItems count="1">
    <i/>
  </colItems>
  <dataFields count="1">
    <dataField name="Sum of Sales" fld="11" baseField="0" baseItem="0"/>
  </dataFields>
  <formats count="18">
    <format dxfId="17">
      <pivotArea type="all" dataOnly="0" outline="0" fieldPosition="0"/>
    </format>
    <format dxfId="16">
      <pivotArea outline="0" collapsedLevelsAreSubtotals="1" fieldPosition="0"/>
    </format>
    <format dxfId="15">
      <pivotArea field="6" type="button" dataOnly="0" labelOnly="1" outline="0" axis="axisRow" fieldPosition="0"/>
    </format>
    <format dxfId="14">
      <pivotArea dataOnly="0" labelOnly="1" fieldPosition="0">
        <references count="1">
          <reference field="6" count="0"/>
        </references>
      </pivotArea>
    </format>
    <format dxfId="13">
      <pivotArea dataOnly="0" labelOnly="1" grandRow="1" outline="0"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field="6" type="button" dataOnly="0" labelOnly="1" outline="0" axis="axisRow" fieldPosition="0"/>
    </format>
    <format dxfId="8">
      <pivotArea dataOnly="0" labelOnly="1" fieldPosition="0">
        <references count="1">
          <reference field="6"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6" type="button" dataOnly="0" labelOnly="1" outline="0" axis="axisRow" fieldPosition="0"/>
    </format>
    <format dxfId="2">
      <pivotArea dataOnly="0" labelOnly="1" fieldPosition="0">
        <references count="1">
          <reference field="6" count="0"/>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8EC1214-B106-4712-B712-68A38A643B74}" sourceName="Region">
  <pivotTables>
    <pivotTable tabId="27" name="PivotTable3"/>
  </pivotTables>
  <data>
    <tabular pivotCacheId="267539068">
      <items count="5">
        <i x="1" s="1"/>
        <i x="3" s="1"/>
        <i x="0" s="1"/>
        <i x="2" s="1" nd="1"/>
        <i x="4"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915F53A-28A6-4DBB-BD4F-C1F0DEBFB934}" sourceName="Category">
  <pivotTables>
    <pivotTable tabId="28" name="PivotTable4"/>
  </pivotTables>
  <data>
    <tabular pivotCacheId="267539068">
      <items count="4">
        <i x="2" s="1"/>
        <i x="0" s="1"/>
        <i x="1" s="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1" xr10:uid="{07A5ECEE-FA3F-455A-A742-F936820389EF}" sourceName="Salesperson">
  <pivotTables>
    <pivotTable tabId="23" name="PivotTable2"/>
    <pivotTable tabId="22" name="PivotTable1"/>
    <pivotTable tabId="32" name="PivotTable1"/>
    <pivotTable tabId="33" name="PivotTable2"/>
  </pivotTables>
  <data>
    <tabular pivotCacheId="1">
      <items count="6">
        <i x="2" s="1"/>
        <i x="3" s="1"/>
        <i x="5" s="1"/>
        <i x="0"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C54CBF69-0C7A-43EA-BD8F-F20553FA7BE2}" sourceName="Category">
  <pivotTables>
    <pivotTable tabId="31" name="PivotTable2"/>
    <pivotTable tabId="30" name="PivotTable1"/>
  </pivotTables>
  <data>
    <tabular pivotCacheId="1054893503">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D1F5E1F8-9450-4FB5-9E3C-5C5B56F123FE}" sourceName="Region">
  <pivotTables>
    <pivotTable tabId="30" name="PivotTable1"/>
    <pivotTable tabId="31" name="PivotTable2"/>
  </pivotTables>
  <data>
    <tabular pivotCacheId="1054893503">
      <items count="4">
        <i x="2" s="1"/>
        <i x="1" s="1"/>
        <i x="3"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10517F8E-50E1-45EA-B1D2-ACA9DDC025F2}" sourceName="State">
  <pivotTables>
    <pivotTable tabId="26" name="PivotTable2"/>
    <pivotTable tabId="25" name="PivotTable1"/>
    <pivotTable tabId="27" name="PivotTable3"/>
  </pivotTables>
  <data>
    <tabular pivotCacheId="267539068">
      <items count="11">
        <i x="6"/>
        <i x="5"/>
        <i x="1" s="1"/>
        <i x="7"/>
        <i x="0" s="1"/>
        <i x="2"/>
        <i x="8" s="1"/>
        <i x="9"/>
        <i x="3" s="1"/>
        <i x="4"/>
        <i x="10"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1733F128-EC87-4D6A-9B74-ECF606CAFCD8}" cache="Slicer_Salesperson1" caption="Salesperson" columnCoun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EE7D5CD-1C60-4E91-BF05-4DEE9407BD8E}" cache="Slicer_Region" caption="Region" columnCount="4" rowHeight="234950"/>
  <slicer name="State" xr10:uid="{4D3767F9-4B6A-49C3-A7AD-5C6A83E7BD07}" cache="Slicer_State1" caption="State" columnCount="5"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31223D57-BB44-4FAF-B497-E16C5B63F2E6}" cache="Slicer_Category" caption="Product_category" columnCount="3"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2" xr10:uid="{CD8DE9CB-F264-40EA-97FC-70E5A9AB3A0D}" cache="Slicer_Salesperson1" caption="Salesperson" columnCount="6" rowHeight="234950"/>
  <slicer name="Category" xr10:uid="{0567C1BB-BCC7-4268-B627-D22687A62E35}" cache="Slicer_Category1" caption="Category" columnCount="3" rowHeight="234950"/>
  <slicer name="Region 2" xr10:uid="{50D971FB-7A11-4852-9836-1A288F02517A}" cache="Slicer_Region1" caption="Region" columnCount="4" rowHeight="234950"/>
  <slicer name="State 1" xr10:uid="{9FCA0D8B-817E-46D1-9746-19A85FFBC670}" cache="Slicer_State1" caption="State" columnCount="5"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0000000-0013-0000-FFFF-FFFF01000000}" sourceName=" Order Date">
  <pivotTables>
    <pivotTable tabId="22" name="PivotTable1"/>
    <pivotTable tabId="23" name="PivotTable2"/>
    <pivotTable tabId="32" name="PivotTable1"/>
    <pivotTable tabId="33" name="PivotTable2"/>
  </pivotTables>
  <state minimalRefreshVersion="6" lastRefreshVersion="6" pivotCacheId="1" filterType="unknown">
    <bounds startDate="2025-01-01T00:00:00" endDate="203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 Order Date" xr10:uid="{00000000-0014-0000-FFFF-FFFF01000000}" cache="NativeTimeline_Order_Date" caption=" Order Date" level="2" selectionLevel="2" scrollPosition="2026-07-13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 Order Date 1" xr10:uid="{F0761421-CB02-4565-8A64-A13CF2746802}" cache="NativeTimeline_Order_Date" caption=" Order Date" level="2" selectionLevel="2" scrollPosition="2027-03-27T00:00:00"/>
</timeline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10.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501"/>
  <sheetViews>
    <sheetView zoomScale="95" zoomScaleNormal="95" workbookViewId="0">
      <selection activeCell="E7" sqref="A1:P501"/>
    </sheetView>
  </sheetViews>
  <sheetFormatPr defaultRowHeight="14.4" x14ac:dyDescent="0.3"/>
  <cols>
    <col min="1" max="1" width="12.109375" bestFit="1" customWidth="1"/>
    <col min="2" max="2" width="24.109375" customWidth="1"/>
    <col min="3" max="3" width="9.5546875" bestFit="1" customWidth="1"/>
    <col min="4" max="4" width="12" bestFit="1" customWidth="1"/>
    <col min="5" max="5" width="15.44140625" bestFit="1" customWidth="1"/>
    <col min="6" max="6" width="13.88671875" bestFit="1" customWidth="1"/>
    <col min="7" max="7" width="12.109375" bestFit="1" customWidth="1"/>
    <col min="8" max="8" width="11.5546875" bestFit="1" customWidth="1"/>
    <col min="9" max="9" width="11.44140625" bestFit="1" customWidth="1"/>
    <col min="10" max="10" width="13" bestFit="1" customWidth="1"/>
    <col min="11" max="11" width="15" bestFit="1" customWidth="1"/>
    <col min="12" max="13" width="10.6640625" bestFit="1" customWidth="1"/>
    <col min="14" max="14" width="11.33203125" bestFit="1" customWidth="1"/>
    <col min="15" max="15" width="19.109375" bestFit="1" customWidth="1"/>
    <col min="16" max="16" width="14.88671875" bestFit="1" customWidth="1"/>
  </cols>
  <sheetData>
    <row r="1" spans="1:16" ht="18" thickBot="1" x14ac:dyDescent="0.35">
      <c r="A1" s="1" t="s">
        <v>0</v>
      </c>
      <c r="B1" s="2" t="s">
        <v>572</v>
      </c>
      <c r="C1" s="3" t="s">
        <v>1</v>
      </c>
      <c r="D1" s="3" t="s">
        <v>2</v>
      </c>
      <c r="E1" s="3" t="s">
        <v>3</v>
      </c>
      <c r="F1" s="3" t="s">
        <v>4</v>
      </c>
      <c r="G1" s="3" t="s">
        <v>5</v>
      </c>
      <c r="H1" s="3" t="s">
        <v>6</v>
      </c>
      <c r="I1" s="3" t="s">
        <v>7</v>
      </c>
      <c r="J1" s="3" t="s">
        <v>8</v>
      </c>
      <c r="K1" s="3" t="s">
        <v>9</v>
      </c>
      <c r="L1" s="10" t="s">
        <v>10</v>
      </c>
      <c r="M1" s="10" t="s">
        <v>11</v>
      </c>
      <c r="N1" s="3" t="s">
        <v>12</v>
      </c>
      <c r="O1" s="3" t="s">
        <v>13</v>
      </c>
      <c r="P1" s="11" t="s">
        <v>573</v>
      </c>
    </row>
    <row r="2" spans="1:16" ht="16.2" thickTop="1" x14ac:dyDescent="0.3">
      <c r="A2" s="4" t="s">
        <v>14</v>
      </c>
      <c r="B2" s="5">
        <f t="shared" ref="B2:B65" si="0">DATE(YEAR(P2),MONTH(P2),DAY(P2))</f>
        <v>45675</v>
      </c>
      <c r="C2" s="6" t="s">
        <v>15</v>
      </c>
      <c r="D2" s="6" t="s">
        <v>16</v>
      </c>
      <c r="E2" s="6" t="s">
        <v>17</v>
      </c>
      <c r="F2" s="6" t="s">
        <v>18</v>
      </c>
      <c r="G2" s="6" t="s">
        <v>19</v>
      </c>
      <c r="H2" s="6" t="s">
        <v>20</v>
      </c>
      <c r="I2" s="6">
        <v>6</v>
      </c>
      <c r="J2" s="6">
        <v>12000</v>
      </c>
      <c r="K2" s="12">
        <v>15</v>
      </c>
      <c r="L2" s="13">
        <v>61200</v>
      </c>
      <c r="M2" s="13">
        <v>51357.36</v>
      </c>
      <c r="N2" s="6">
        <v>9842.64</v>
      </c>
      <c r="O2" s="6" t="s">
        <v>21</v>
      </c>
      <c r="P2" s="14">
        <v>45675</v>
      </c>
    </row>
    <row r="3" spans="1:16" ht="15.6" x14ac:dyDescent="0.3">
      <c r="A3" s="7" t="s">
        <v>22</v>
      </c>
      <c r="B3" s="8">
        <f t="shared" si="0"/>
        <v>45941</v>
      </c>
      <c r="C3" s="9" t="s">
        <v>23</v>
      </c>
      <c r="D3" s="9" t="s">
        <v>24</v>
      </c>
      <c r="E3" s="9" t="s">
        <v>25</v>
      </c>
      <c r="F3" s="9" t="s">
        <v>18</v>
      </c>
      <c r="G3" s="9" t="s">
        <v>26</v>
      </c>
      <c r="H3" s="9" t="s">
        <v>27</v>
      </c>
      <c r="I3" s="9">
        <v>10</v>
      </c>
      <c r="J3" s="9">
        <v>6000</v>
      </c>
      <c r="K3" s="15">
        <v>10</v>
      </c>
      <c r="L3" s="16">
        <v>54000</v>
      </c>
      <c r="M3" s="16">
        <v>48335.28</v>
      </c>
      <c r="N3" s="9">
        <v>5664.72</v>
      </c>
      <c r="O3" s="9" t="s">
        <v>28</v>
      </c>
      <c r="P3" s="17">
        <v>45941</v>
      </c>
    </row>
    <row r="4" spans="1:16" ht="15.6" x14ac:dyDescent="0.3">
      <c r="A4" s="4" t="s">
        <v>29</v>
      </c>
      <c r="B4" s="5">
        <f t="shared" si="0"/>
        <v>45924</v>
      </c>
      <c r="C4" s="6" t="s">
        <v>30</v>
      </c>
      <c r="D4" s="6" t="s">
        <v>31</v>
      </c>
      <c r="E4" s="6" t="s">
        <v>32</v>
      </c>
      <c r="F4" s="6" t="s">
        <v>18</v>
      </c>
      <c r="G4" s="6" t="s">
        <v>26</v>
      </c>
      <c r="H4" s="6" t="s">
        <v>27</v>
      </c>
      <c r="I4" s="6">
        <v>8</v>
      </c>
      <c r="J4" s="6">
        <v>6000</v>
      </c>
      <c r="K4" s="12">
        <v>10</v>
      </c>
      <c r="L4" s="13">
        <v>43200</v>
      </c>
      <c r="M4" s="13">
        <v>35469.01</v>
      </c>
      <c r="N4" s="6">
        <v>7730.99</v>
      </c>
      <c r="O4" s="6" t="s">
        <v>33</v>
      </c>
      <c r="P4" s="14">
        <v>45924</v>
      </c>
    </row>
    <row r="5" spans="1:16" ht="15.6" x14ac:dyDescent="0.3">
      <c r="A5" s="7" t="s">
        <v>34</v>
      </c>
      <c r="B5" s="8">
        <f t="shared" si="0"/>
        <v>45805</v>
      </c>
      <c r="C5" s="9" t="s">
        <v>30</v>
      </c>
      <c r="D5" s="9" t="s">
        <v>31</v>
      </c>
      <c r="E5" s="9" t="s">
        <v>35</v>
      </c>
      <c r="F5" s="9" t="s">
        <v>36</v>
      </c>
      <c r="G5" s="9" t="s">
        <v>37</v>
      </c>
      <c r="H5" s="9" t="s">
        <v>38</v>
      </c>
      <c r="I5" s="9">
        <v>2</v>
      </c>
      <c r="J5" s="9">
        <v>900</v>
      </c>
      <c r="K5" s="15">
        <v>10</v>
      </c>
      <c r="L5" s="16">
        <v>1620</v>
      </c>
      <c r="M5" s="16">
        <v>1310.0899999999999</v>
      </c>
      <c r="N5" s="9">
        <v>309.91000000000003</v>
      </c>
      <c r="O5" s="9" t="s">
        <v>28</v>
      </c>
      <c r="P5" s="17">
        <v>45805</v>
      </c>
    </row>
    <row r="6" spans="1:16" ht="15.6" x14ac:dyDescent="0.3">
      <c r="A6" s="4" t="s">
        <v>39</v>
      </c>
      <c r="B6" s="5">
        <f t="shared" si="0"/>
        <v>45688</v>
      </c>
      <c r="C6" s="6" t="s">
        <v>40</v>
      </c>
      <c r="D6" s="6" t="s">
        <v>41</v>
      </c>
      <c r="E6" s="6" t="s">
        <v>17</v>
      </c>
      <c r="F6" s="6" t="s">
        <v>42</v>
      </c>
      <c r="G6" s="6" t="s">
        <v>19</v>
      </c>
      <c r="H6" s="6" t="s">
        <v>43</v>
      </c>
      <c r="I6" s="6">
        <v>10</v>
      </c>
      <c r="J6" s="6">
        <v>55000</v>
      </c>
      <c r="K6" s="12">
        <v>5</v>
      </c>
      <c r="L6" s="13">
        <v>522500</v>
      </c>
      <c r="M6" s="13">
        <v>376706.09</v>
      </c>
      <c r="N6" s="6">
        <v>145793.91</v>
      </c>
      <c r="O6" s="6" t="s">
        <v>44</v>
      </c>
      <c r="P6" s="14">
        <v>45688</v>
      </c>
    </row>
    <row r="7" spans="1:16" ht="15.6" x14ac:dyDescent="0.3">
      <c r="A7" s="7" t="s">
        <v>45</v>
      </c>
      <c r="B7" s="8">
        <f t="shared" si="0"/>
        <v>45966</v>
      </c>
      <c r="C7" s="9" t="s">
        <v>23</v>
      </c>
      <c r="D7" s="9" t="s">
        <v>24</v>
      </c>
      <c r="E7" s="9" t="s">
        <v>17</v>
      </c>
      <c r="F7" s="9" t="s">
        <v>36</v>
      </c>
      <c r="G7" s="9" t="s">
        <v>19</v>
      </c>
      <c r="H7" s="9" t="s">
        <v>43</v>
      </c>
      <c r="I7" s="9">
        <v>5</v>
      </c>
      <c r="J7" s="9">
        <v>55000</v>
      </c>
      <c r="K7" s="15">
        <v>10</v>
      </c>
      <c r="L7" s="16">
        <v>247500</v>
      </c>
      <c r="M7" s="16">
        <v>191855.13</v>
      </c>
      <c r="N7" s="9">
        <v>55644.87</v>
      </c>
      <c r="O7" s="9" t="s">
        <v>44</v>
      </c>
      <c r="P7" s="17">
        <v>45966</v>
      </c>
    </row>
    <row r="8" spans="1:16" ht="15.6" x14ac:dyDescent="0.3">
      <c r="A8" s="4" t="s">
        <v>46</v>
      </c>
      <c r="B8" s="5">
        <f t="shared" si="0"/>
        <v>45699</v>
      </c>
      <c r="C8" s="6" t="s">
        <v>23</v>
      </c>
      <c r="D8" s="6" t="s">
        <v>24</v>
      </c>
      <c r="E8" s="6" t="s">
        <v>17</v>
      </c>
      <c r="F8" s="6" t="s">
        <v>42</v>
      </c>
      <c r="G8" s="6" t="s">
        <v>26</v>
      </c>
      <c r="H8" s="6" t="s">
        <v>27</v>
      </c>
      <c r="I8" s="6">
        <v>3</v>
      </c>
      <c r="J8" s="6">
        <v>6000</v>
      </c>
      <c r="K8" s="12">
        <v>15</v>
      </c>
      <c r="L8" s="13">
        <v>15300</v>
      </c>
      <c r="M8" s="13">
        <v>10692.52</v>
      </c>
      <c r="N8" s="6">
        <v>4607.4799999999996</v>
      </c>
      <c r="O8" s="6" t="s">
        <v>44</v>
      </c>
      <c r="P8" s="14">
        <v>45699</v>
      </c>
    </row>
    <row r="9" spans="1:16" ht="15.6" x14ac:dyDescent="0.3">
      <c r="A9" s="7" t="s">
        <v>47</v>
      </c>
      <c r="B9" s="8">
        <f t="shared" si="0"/>
        <v>45744</v>
      </c>
      <c r="C9" s="9" t="s">
        <v>40</v>
      </c>
      <c r="D9" s="9" t="s">
        <v>41</v>
      </c>
      <c r="E9" s="9" t="s">
        <v>48</v>
      </c>
      <c r="F9" s="9" t="s">
        <v>42</v>
      </c>
      <c r="G9" s="9" t="s">
        <v>37</v>
      </c>
      <c r="H9" s="9" t="s">
        <v>38</v>
      </c>
      <c r="I9" s="9">
        <v>7</v>
      </c>
      <c r="J9" s="9">
        <v>900</v>
      </c>
      <c r="K9" s="15">
        <v>0</v>
      </c>
      <c r="L9" s="16">
        <v>6300</v>
      </c>
      <c r="M9" s="16">
        <v>4517.74</v>
      </c>
      <c r="N9" s="9">
        <v>1782.26</v>
      </c>
      <c r="O9" s="9" t="s">
        <v>44</v>
      </c>
      <c r="P9" s="17">
        <v>45744</v>
      </c>
    </row>
    <row r="10" spans="1:16" ht="15.6" x14ac:dyDescent="0.3">
      <c r="A10" s="4" t="s">
        <v>49</v>
      </c>
      <c r="B10" s="5">
        <f t="shared" si="0"/>
        <v>45850</v>
      </c>
      <c r="C10" s="6" t="s">
        <v>30</v>
      </c>
      <c r="D10" s="6" t="s">
        <v>50</v>
      </c>
      <c r="E10" s="6" t="s">
        <v>48</v>
      </c>
      <c r="F10" s="6" t="s">
        <v>51</v>
      </c>
      <c r="G10" s="6" t="s">
        <v>19</v>
      </c>
      <c r="H10" s="6" t="s">
        <v>52</v>
      </c>
      <c r="I10" s="6">
        <v>7</v>
      </c>
      <c r="J10" s="6">
        <v>1500</v>
      </c>
      <c r="K10" s="12">
        <v>5</v>
      </c>
      <c r="L10" s="13">
        <v>9975</v>
      </c>
      <c r="M10" s="13">
        <v>8501.52</v>
      </c>
      <c r="N10" s="6">
        <v>1473.48</v>
      </c>
      <c r="O10" s="6" t="s">
        <v>33</v>
      </c>
      <c r="P10" s="14">
        <v>45850</v>
      </c>
    </row>
    <row r="11" spans="1:16" ht="15.6" x14ac:dyDescent="0.3">
      <c r="A11" s="7" t="s">
        <v>53</v>
      </c>
      <c r="B11" s="8">
        <f t="shared" si="0"/>
        <v>46009</v>
      </c>
      <c r="C11" s="9" t="s">
        <v>30</v>
      </c>
      <c r="D11" s="9" t="s">
        <v>31</v>
      </c>
      <c r="E11" s="9" t="s">
        <v>17</v>
      </c>
      <c r="F11" s="9" t="s">
        <v>36</v>
      </c>
      <c r="G11" s="9" t="s">
        <v>19</v>
      </c>
      <c r="H11" s="9" t="s">
        <v>43</v>
      </c>
      <c r="I11" s="9">
        <v>6</v>
      </c>
      <c r="J11" s="9">
        <v>55000</v>
      </c>
      <c r="K11" s="15">
        <v>0</v>
      </c>
      <c r="L11" s="16">
        <v>330000</v>
      </c>
      <c r="M11" s="16">
        <v>248968.11</v>
      </c>
      <c r="N11" s="9">
        <v>81031.89</v>
      </c>
      <c r="O11" s="9" t="s">
        <v>21</v>
      </c>
      <c r="P11" s="17">
        <v>46009</v>
      </c>
    </row>
    <row r="12" spans="1:16" ht="15.6" x14ac:dyDescent="0.3">
      <c r="A12" s="4" t="s">
        <v>54</v>
      </c>
      <c r="B12" s="5">
        <f t="shared" si="0"/>
        <v>45986</v>
      </c>
      <c r="C12" s="6" t="s">
        <v>15</v>
      </c>
      <c r="D12" s="6" t="s">
        <v>55</v>
      </c>
      <c r="E12" s="6" t="s">
        <v>35</v>
      </c>
      <c r="F12" s="6" t="s">
        <v>51</v>
      </c>
      <c r="G12" s="6" t="s">
        <v>37</v>
      </c>
      <c r="H12" s="6" t="s">
        <v>56</v>
      </c>
      <c r="I12" s="6">
        <v>7</v>
      </c>
      <c r="J12" s="6">
        <v>2500</v>
      </c>
      <c r="K12" s="12">
        <v>0</v>
      </c>
      <c r="L12" s="13">
        <v>17500</v>
      </c>
      <c r="M12" s="13">
        <v>15408.14</v>
      </c>
      <c r="N12" s="6">
        <v>2091.86</v>
      </c>
      <c r="O12" s="6" t="s">
        <v>28</v>
      </c>
      <c r="P12" s="14">
        <v>45986</v>
      </c>
    </row>
    <row r="13" spans="1:16" ht="15.6" x14ac:dyDescent="0.3">
      <c r="A13" s="7" t="s">
        <v>57</v>
      </c>
      <c r="B13" s="8">
        <f t="shared" si="0"/>
        <v>45708</v>
      </c>
      <c r="C13" s="9" t="s">
        <v>23</v>
      </c>
      <c r="D13" s="9" t="s">
        <v>58</v>
      </c>
      <c r="E13" s="9" t="s">
        <v>59</v>
      </c>
      <c r="F13" s="9" t="s">
        <v>18</v>
      </c>
      <c r="G13" s="9" t="s">
        <v>37</v>
      </c>
      <c r="H13" s="9" t="s">
        <v>56</v>
      </c>
      <c r="I13" s="9">
        <v>6</v>
      </c>
      <c r="J13" s="9">
        <v>2500</v>
      </c>
      <c r="K13" s="15">
        <v>5</v>
      </c>
      <c r="L13" s="16">
        <v>14250</v>
      </c>
      <c r="M13" s="16">
        <v>12303.51</v>
      </c>
      <c r="N13" s="9">
        <v>1946.49</v>
      </c>
      <c r="O13" s="9" t="s">
        <v>33</v>
      </c>
      <c r="P13" s="17">
        <v>45708</v>
      </c>
    </row>
    <row r="14" spans="1:16" ht="15.6" x14ac:dyDescent="0.3">
      <c r="A14" s="4" t="s">
        <v>60</v>
      </c>
      <c r="B14" s="5">
        <f t="shared" si="0"/>
        <v>45716</v>
      </c>
      <c r="C14" s="6" t="s">
        <v>40</v>
      </c>
      <c r="D14" s="6" t="s">
        <v>61</v>
      </c>
      <c r="E14" s="6" t="s">
        <v>17</v>
      </c>
      <c r="F14" s="6" t="s">
        <v>62</v>
      </c>
      <c r="G14" s="6" t="s">
        <v>37</v>
      </c>
      <c r="H14" s="6" t="s">
        <v>56</v>
      </c>
      <c r="I14" s="6">
        <v>10</v>
      </c>
      <c r="J14" s="6">
        <v>2500</v>
      </c>
      <c r="K14" s="12">
        <v>5</v>
      </c>
      <c r="L14" s="13">
        <v>23750</v>
      </c>
      <c r="M14" s="13">
        <v>16851.3</v>
      </c>
      <c r="N14" s="6">
        <v>6898.7</v>
      </c>
      <c r="O14" s="6" t="s">
        <v>44</v>
      </c>
      <c r="P14" s="14">
        <v>45716</v>
      </c>
    </row>
    <row r="15" spans="1:16" ht="15.6" x14ac:dyDescent="0.3">
      <c r="A15" s="7" t="s">
        <v>63</v>
      </c>
      <c r="B15" s="8">
        <f t="shared" si="0"/>
        <v>45687</v>
      </c>
      <c r="C15" s="9" t="s">
        <v>30</v>
      </c>
      <c r="D15" s="9" t="s">
        <v>50</v>
      </c>
      <c r="E15" s="9" t="s">
        <v>59</v>
      </c>
      <c r="F15" s="9" t="s">
        <v>18</v>
      </c>
      <c r="G15" s="9" t="s">
        <v>37</v>
      </c>
      <c r="H15" s="9" t="s">
        <v>38</v>
      </c>
      <c r="I15" s="9">
        <v>4</v>
      </c>
      <c r="J15" s="9">
        <v>900</v>
      </c>
      <c r="K15" s="15">
        <v>5</v>
      </c>
      <c r="L15" s="16">
        <v>3420</v>
      </c>
      <c r="M15" s="16">
        <v>2819.67</v>
      </c>
      <c r="N15" s="9">
        <v>600.33000000000004</v>
      </c>
      <c r="O15" s="9" t="s">
        <v>21</v>
      </c>
      <c r="P15" s="17">
        <v>45687</v>
      </c>
    </row>
    <row r="16" spans="1:16" ht="15.6" x14ac:dyDescent="0.3">
      <c r="A16" s="4" t="s">
        <v>64</v>
      </c>
      <c r="B16" s="5">
        <f t="shared" si="0"/>
        <v>45835</v>
      </c>
      <c r="C16" s="6" t="s">
        <v>15</v>
      </c>
      <c r="D16" s="6" t="s">
        <v>55</v>
      </c>
      <c r="E16" s="6" t="s">
        <v>48</v>
      </c>
      <c r="F16" s="6" t="s">
        <v>65</v>
      </c>
      <c r="G16" s="6" t="s">
        <v>19</v>
      </c>
      <c r="H16" s="6" t="s">
        <v>20</v>
      </c>
      <c r="I16" s="6">
        <v>5</v>
      </c>
      <c r="J16" s="6">
        <v>12000</v>
      </c>
      <c r="K16" s="12">
        <v>10</v>
      </c>
      <c r="L16" s="13">
        <v>54000</v>
      </c>
      <c r="M16" s="13">
        <v>39256.550000000003</v>
      </c>
      <c r="N16" s="6">
        <v>14743.45</v>
      </c>
      <c r="O16" s="6" t="s">
        <v>33</v>
      </c>
      <c r="P16" s="14">
        <v>45835</v>
      </c>
    </row>
    <row r="17" spans="1:16" ht="15.6" x14ac:dyDescent="0.3">
      <c r="A17" s="7" t="s">
        <v>66</v>
      </c>
      <c r="B17" s="8">
        <f t="shared" si="0"/>
        <v>45841</v>
      </c>
      <c r="C17" s="9" t="s">
        <v>30</v>
      </c>
      <c r="D17" s="9" t="s">
        <v>50</v>
      </c>
      <c r="E17" s="9" t="s">
        <v>17</v>
      </c>
      <c r="F17" s="9" t="s">
        <v>42</v>
      </c>
      <c r="G17" s="9" t="s">
        <v>19</v>
      </c>
      <c r="H17" s="9" t="s">
        <v>52</v>
      </c>
      <c r="I17" s="9">
        <v>10</v>
      </c>
      <c r="J17" s="9">
        <v>1500</v>
      </c>
      <c r="K17" s="15">
        <v>10</v>
      </c>
      <c r="L17" s="16">
        <v>13500</v>
      </c>
      <c r="M17" s="16">
        <v>9924.7800000000007</v>
      </c>
      <c r="N17" s="9">
        <v>3575.22</v>
      </c>
      <c r="O17" s="9" t="s">
        <v>33</v>
      </c>
      <c r="P17" s="17">
        <v>45841</v>
      </c>
    </row>
    <row r="18" spans="1:16" ht="15.6" x14ac:dyDescent="0.3">
      <c r="A18" s="4" t="s">
        <v>67</v>
      </c>
      <c r="B18" s="5">
        <f t="shared" si="0"/>
        <v>45960</v>
      </c>
      <c r="C18" s="6" t="s">
        <v>40</v>
      </c>
      <c r="D18" s="6" t="s">
        <v>41</v>
      </c>
      <c r="E18" s="6" t="s">
        <v>48</v>
      </c>
      <c r="F18" s="6" t="s">
        <v>51</v>
      </c>
      <c r="G18" s="6" t="s">
        <v>19</v>
      </c>
      <c r="H18" s="6" t="s">
        <v>20</v>
      </c>
      <c r="I18" s="6">
        <v>7</v>
      </c>
      <c r="J18" s="6">
        <v>12000</v>
      </c>
      <c r="K18" s="12">
        <v>15</v>
      </c>
      <c r="L18" s="13">
        <v>71400</v>
      </c>
      <c r="M18" s="13">
        <v>46799.82</v>
      </c>
      <c r="N18" s="6">
        <v>24600.18</v>
      </c>
      <c r="O18" s="6" t="s">
        <v>28</v>
      </c>
      <c r="P18" s="14">
        <v>45960</v>
      </c>
    </row>
    <row r="19" spans="1:16" ht="15.6" x14ac:dyDescent="0.3">
      <c r="A19" s="7" t="s">
        <v>68</v>
      </c>
      <c r="B19" s="8">
        <f t="shared" si="0"/>
        <v>45794</v>
      </c>
      <c r="C19" s="9" t="s">
        <v>30</v>
      </c>
      <c r="D19" s="9" t="s">
        <v>31</v>
      </c>
      <c r="E19" s="9" t="s">
        <v>59</v>
      </c>
      <c r="F19" s="9" t="s">
        <v>18</v>
      </c>
      <c r="G19" s="9" t="s">
        <v>26</v>
      </c>
      <c r="H19" s="9" t="s">
        <v>27</v>
      </c>
      <c r="I19" s="9">
        <v>1</v>
      </c>
      <c r="J19" s="9">
        <v>6000</v>
      </c>
      <c r="K19" s="15">
        <v>15</v>
      </c>
      <c r="L19" s="16">
        <v>5100</v>
      </c>
      <c r="M19" s="16">
        <v>4307.7299999999996</v>
      </c>
      <c r="N19" s="9">
        <v>792.27</v>
      </c>
      <c r="O19" s="9" t="s">
        <v>33</v>
      </c>
      <c r="P19" s="17">
        <v>45794</v>
      </c>
    </row>
    <row r="20" spans="1:16" ht="15.6" x14ac:dyDescent="0.3">
      <c r="A20" s="4" t="s">
        <v>69</v>
      </c>
      <c r="B20" s="5">
        <f t="shared" si="0"/>
        <v>45857</v>
      </c>
      <c r="C20" s="6" t="s">
        <v>40</v>
      </c>
      <c r="D20" s="6" t="s">
        <v>61</v>
      </c>
      <c r="E20" s="6" t="s">
        <v>35</v>
      </c>
      <c r="F20" s="6" t="s">
        <v>62</v>
      </c>
      <c r="G20" s="6" t="s">
        <v>26</v>
      </c>
      <c r="H20" s="6" t="s">
        <v>70</v>
      </c>
      <c r="I20" s="6">
        <v>6</v>
      </c>
      <c r="J20" s="6">
        <v>10000</v>
      </c>
      <c r="K20" s="12">
        <v>0</v>
      </c>
      <c r="L20" s="13">
        <v>60000</v>
      </c>
      <c r="M20" s="13">
        <v>39574.47</v>
      </c>
      <c r="N20" s="6">
        <v>20425.53</v>
      </c>
      <c r="O20" s="6" t="s">
        <v>33</v>
      </c>
      <c r="P20" s="14">
        <v>45857</v>
      </c>
    </row>
    <row r="21" spans="1:16" ht="15.6" x14ac:dyDescent="0.3">
      <c r="A21" s="7" t="s">
        <v>71</v>
      </c>
      <c r="B21" s="8">
        <f t="shared" si="0"/>
        <v>45871</v>
      </c>
      <c r="C21" s="9" t="s">
        <v>23</v>
      </c>
      <c r="D21" s="9" t="s">
        <v>58</v>
      </c>
      <c r="E21" s="9" t="s">
        <v>35</v>
      </c>
      <c r="F21" s="9" t="s">
        <v>42</v>
      </c>
      <c r="G21" s="9" t="s">
        <v>37</v>
      </c>
      <c r="H21" s="9" t="s">
        <v>72</v>
      </c>
      <c r="I21" s="9">
        <v>10</v>
      </c>
      <c r="J21" s="9">
        <v>800</v>
      </c>
      <c r="K21" s="15">
        <v>5</v>
      </c>
      <c r="L21" s="16">
        <v>7600</v>
      </c>
      <c r="M21" s="16">
        <v>6327.31</v>
      </c>
      <c r="N21" s="9">
        <v>1272.69</v>
      </c>
      <c r="O21" s="9" t="s">
        <v>21</v>
      </c>
      <c r="P21" s="17">
        <v>45871</v>
      </c>
    </row>
    <row r="22" spans="1:16" ht="15.6" x14ac:dyDescent="0.3">
      <c r="A22" s="4" t="s">
        <v>73</v>
      </c>
      <c r="B22" s="5">
        <f t="shared" si="0"/>
        <v>45679</v>
      </c>
      <c r="C22" s="6" t="s">
        <v>23</v>
      </c>
      <c r="D22" s="6" t="s">
        <v>58</v>
      </c>
      <c r="E22" s="6" t="s">
        <v>32</v>
      </c>
      <c r="F22" s="6" t="s">
        <v>36</v>
      </c>
      <c r="G22" s="6" t="s">
        <v>19</v>
      </c>
      <c r="H22" s="6" t="s">
        <v>20</v>
      </c>
      <c r="I22" s="6">
        <v>9</v>
      </c>
      <c r="J22" s="6">
        <v>12000</v>
      </c>
      <c r="K22" s="12">
        <v>0</v>
      </c>
      <c r="L22" s="13">
        <v>108000</v>
      </c>
      <c r="M22" s="13">
        <v>77674.86</v>
      </c>
      <c r="N22" s="6">
        <v>30325.14</v>
      </c>
      <c r="O22" s="6" t="s">
        <v>21</v>
      </c>
      <c r="P22" s="14">
        <v>45679</v>
      </c>
    </row>
    <row r="23" spans="1:16" ht="15.6" x14ac:dyDescent="0.3">
      <c r="A23" s="7" t="s">
        <v>74</v>
      </c>
      <c r="B23" s="8">
        <f t="shared" si="0"/>
        <v>46008</v>
      </c>
      <c r="C23" s="9" t="s">
        <v>40</v>
      </c>
      <c r="D23" s="9" t="s">
        <v>41</v>
      </c>
      <c r="E23" s="9" t="s">
        <v>48</v>
      </c>
      <c r="F23" s="9" t="s">
        <v>36</v>
      </c>
      <c r="G23" s="9" t="s">
        <v>37</v>
      </c>
      <c r="H23" s="9" t="s">
        <v>56</v>
      </c>
      <c r="I23" s="9">
        <v>5</v>
      </c>
      <c r="J23" s="9">
        <v>2500</v>
      </c>
      <c r="K23" s="15">
        <v>15</v>
      </c>
      <c r="L23" s="16">
        <v>10625</v>
      </c>
      <c r="M23" s="16">
        <v>8568.06</v>
      </c>
      <c r="N23" s="9">
        <v>2056.94</v>
      </c>
      <c r="O23" s="9" t="s">
        <v>28</v>
      </c>
      <c r="P23" s="17">
        <v>46008</v>
      </c>
    </row>
    <row r="24" spans="1:16" ht="15.6" x14ac:dyDescent="0.3">
      <c r="A24" s="4" t="s">
        <v>75</v>
      </c>
      <c r="B24" s="5">
        <f t="shared" si="0"/>
        <v>45694</v>
      </c>
      <c r="C24" s="6" t="s">
        <v>15</v>
      </c>
      <c r="D24" s="6" t="s">
        <v>16</v>
      </c>
      <c r="E24" s="6" t="s">
        <v>32</v>
      </c>
      <c r="F24" s="6" t="s">
        <v>51</v>
      </c>
      <c r="G24" s="6" t="s">
        <v>37</v>
      </c>
      <c r="H24" s="6" t="s">
        <v>56</v>
      </c>
      <c r="I24" s="6">
        <v>2</v>
      </c>
      <c r="J24" s="6">
        <v>2500</v>
      </c>
      <c r="K24" s="12">
        <v>5</v>
      </c>
      <c r="L24" s="13">
        <v>4750</v>
      </c>
      <c r="M24" s="13">
        <v>4210.2</v>
      </c>
      <c r="N24" s="6">
        <v>539.79999999999995</v>
      </c>
      <c r="O24" s="6" t="s">
        <v>44</v>
      </c>
      <c r="P24" s="14">
        <v>45694</v>
      </c>
    </row>
    <row r="25" spans="1:16" ht="15.6" x14ac:dyDescent="0.3">
      <c r="A25" s="7" t="s">
        <v>76</v>
      </c>
      <c r="B25" s="8">
        <f t="shared" si="0"/>
        <v>45704</v>
      </c>
      <c r="C25" s="9" t="s">
        <v>23</v>
      </c>
      <c r="D25" s="9" t="s">
        <v>24</v>
      </c>
      <c r="E25" s="9" t="s">
        <v>25</v>
      </c>
      <c r="F25" s="9" t="s">
        <v>42</v>
      </c>
      <c r="G25" s="9" t="s">
        <v>19</v>
      </c>
      <c r="H25" s="9" t="s">
        <v>52</v>
      </c>
      <c r="I25" s="9">
        <v>5</v>
      </c>
      <c r="J25" s="9">
        <v>1500</v>
      </c>
      <c r="K25" s="15">
        <v>10</v>
      </c>
      <c r="L25" s="16">
        <v>6750</v>
      </c>
      <c r="M25" s="16">
        <v>4744.92</v>
      </c>
      <c r="N25" s="9">
        <v>2005.08</v>
      </c>
      <c r="O25" s="9" t="s">
        <v>28</v>
      </c>
      <c r="P25" s="17">
        <v>45704</v>
      </c>
    </row>
    <row r="26" spans="1:16" ht="15.6" x14ac:dyDescent="0.3">
      <c r="A26" s="4" t="s">
        <v>77</v>
      </c>
      <c r="B26" s="5">
        <f t="shared" si="0"/>
        <v>45845</v>
      </c>
      <c r="C26" s="6" t="s">
        <v>15</v>
      </c>
      <c r="D26" s="6" t="s">
        <v>55</v>
      </c>
      <c r="E26" s="6" t="s">
        <v>17</v>
      </c>
      <c r="F26" s="6" t="s">
        <v>42</v>
      </c>
      <c r="G26" s="6" t="s">
        <v>19</v>
      </c>
      <c r="H26" s="6" t="s">
        <v>20</v>
      </c>
      <c r="I26" s="6">
        <v>3</v>
      </c>
      <c r="J26" s="6">
        <v>12000</v>
      </c>
      <c r="K26" s="12">
        <v>5</v>
      </c>
      <c r="L26" s="13">
        <v>34200</v>
      </c>
      <c r="M26" s="13">
        <v>22581.33</v>
      </c>
      <c r="N26" s="6">
        <v>11618.67</v>
      </c>
      <c r="O26" s="6" t="s">
        <v>21</v>
      </c>
      <c r="P26" s="14">
        <v>45845</v>
      </c>
    </row>
    <row r="27" spans="1:16" ht="15.6" x14ac:dyDescent="0.3">
      <c r="A27" s="7" t="s">
        <v>78</v>
      </c>
      <c r="B27" s="8">
        <f t="shared" si="0"/>
        <v>45939</v>
      </c>
      <c r="C27" s="9" t="s">
        <v>30</v>
      </c>
      <c r="D27" s="9" t="s">
        <v>50</v>
      </c>
      <c r="E27" s="9" t="s">
        <v>17</v>
      </c>
      <c r="F27" s="9" t="s">
        <v>62</v>
      </c>
      <c r="G27" s="9" t="s">
        <v>26</v>
      </c>
      <c r="H27" s="9" t="s">
        <v>70</v>
      </c>
      <c r="I27" s="9">
        <v>3</v>
      </c>
      <c r="J27" s="9">
        <v>10000</v>
      </c>
      <c r="K27" s="15">
        <v>0</v>
      </c>
      <c r="L27" s="16">
        <v>30000</v>
      </c>
      <c r="M27" s="16">
        <v>22069.7</v>
      </c>
      <c r="N27" s="9">
        <v>7930.3</v>
      </c>
      <c r="O27" s="9" t="s">
        <v>28</v>
      </c>
      <c r="P27" s="17">
        <v>45939</v>
      </c>
    </row>
    <row r="28" spans="1:16" ht="15.6" x14ac:dyDescent="0.3">
      <c r="A28" s="4" t="s">
        <v>79</v>
      </c>
      <c r="B28" s="5">
        <f t="shared" si="0"/>
        <v>45838</v>
      </c>
      <c r="C28" s="6" t="s">
        <v>40</v>
      </c>
      <c r="D28" s="6" t="s">
        <v>61</v>
      </c>
      <c r="E28" s="6" t="s">
        <v>48</v>
      </c>
      <c r="F28" s="6" t="s">
        <v>51</v>
      </c>
      <c r="G28" s="6" t="s">
        <v>37</v>
      </c>
      <c r="H28" s="6" t="s">
        <v>56</v>
      </c>
      <c r="I28" s="6">
        <v>9</v>
      </c>
      <c r="J28" s="6">
        <v>2500</v>
      </c>
      <c r="K28" s="12">
        <v>15</v>
      </c>
      <c r="L28" s="13">
        <v>19125</v>
      </c>
      <c r="M28" s="13">
        <v>16167.01</v>
      </c>
      <c r="N28" s="6">
        <v>2957.99</v>
      </c>
      <c r="O28" s="6" t="s">
        <v>33</v>
      </c>
      <c r="P28" s="14">
        <v>45838</v>
      </c>
    </row>
    <row r="29" spans="1:16" ht="15.6" x14ac:dyDescent="0.3">
      <c r="A29" s="7" t="s">
        <v>80</v>
      </c>
      <c r="B29" s="8">
        <f t="shared" si="0"/>
        <v>45712</v>
      </c>
      <c r="C29" s="9" t="s">
        <v>40</v>
      </c>
      <c r="D29" s="9" t="s">
        <v>61</v>
      </c>
      <c r="E29" s="9" t="s">
        <v>35</v>
      </c>
      <c r="F29" s="9" t="s">
        <v>65</v>
      </c>
      <c r="G29" s="9" t="s">
        <v>26</v>
      </c>
      <c r="H29" s="9" t="s">
        <v>27</v>
      </c>
      <c r="I29" s="9">
        <v>3</v>
      </c>
      <c r="J29" s="9">
        <v>6000</v>
      </c>
      <c r="K29" s="15">
        <v>5</v>
      </c>
      <c r="L29" s="16">
        <v>17100</v>
      </c>
      <c r="M29" s="16">
        <v>14521.38</v>
      </c>
      <c r="N29" s="9">
        <v>2578.62</v>
      </c>
      <c r="O29" s="9" t="s">
        <v>33</v>
      </c>
      <c r="P29" s="17">
        <v>45712</v>
      </c>
    </row>
    <row r="30" spans="1:16" ht="15.6" x14ac:dyDescent="0.3">
      <c r="A30" s="4" t="s">
        <v>81</v>
      </c>
      <c r="B30" s="5">
        <f t="shared" si="0"/>
        <v>45917</v>
      </c>
      <c r="C30" s="6" t="s">
        <v>23</v>
      </c>
      <c r="D30" s="6" t="s">
        <v>58</v>
      </c>
      <c r="E30" s="6" t="s">
        <v>59</v>
      </c>
      <c r="F30" s="6" t="s">
        <v>65</v>
      </c>
      <c r="G30" s="6" t="s">
        <v>37</v>
      </c>
      <c r="H30" s="6" t="s">
        <v>38</v>
      </c>
      <c r="I30" s="6">
        <v>8</v>
      </c>
      <c r="J30" s="6">
        <v>900</v>
      </c>
      <c r="K30" s="12">
        <v>15</v>
      </c>
      <c r="L30" s="13">
        <v>6120</v>
      </c>
      <c r="M30" s="13">
        <v>5361</v>
      </c>
      <c r="N30" s="6">
        <v>759</v>
      </c>
      <c r="O30" s="6" t="s">
        <v>33</v>
      </c>
      <c r="P30" s="14">
        <v>45917</v>
      </c>
    </row>
    <row r="31" spans="1:16" ht="15.6" x14ac:dyDescent="0.3">
      <c r="A31" s="7" t="s">
        <v>82</v>
      </c>
      <c r="B31" s="8">
        <f t="shared" si="0"/>
        <v>45781</v>
      </c>
      <c r="C31" s="9" t="s">
        <v>40</v>
      </c>
      <c r="D31" s="9" t="s">
        <v>41</v>
      </c>
      <c r="E31" s="9" t="s">
        <v>25</v>
      </c>
      <c r="F31" s="9" t="s">
        <v>18</v>
      </c>
      <c r="G31" s="9" t="s">
        <v>37</v>
      </c>
      <c r="H31" s="9" t="s">
        <v>72</v>
      </c>
      <c r="I31" s="9">
        <v>9</v>
      </c>
      <c r="J31" s="9">
        <v>800</v>
      </c>
      <c r="K31" s="15">
        <v>5</v>
      </c>
      <c r="L31" s="16">
        <v>6840</v>
      </c>
      <c r="M31" s="16">
        <v>5865.62</v>
      </c>
      <c r="N31" s="9">
        <v>974.38</v>
      </c>
      <c r="O31" s="9" t="s">
        <v>33</v>
      </c>
      <c r="P31" s="17">
        <v>45781</v>
      </c>
    </row>
    <row r="32" spans="1:16" ht="15.6" x14ac:dyDescent="0.3">
      <c r="A32" s="4" t="s">
        <v>83</v>
      </c>
      <c r="B32" s="5">
        <f t="shared" si="0"/>
        <v>45702</v>
      </c>
      <c r="C32" s="6" t="s">
        <v>15</v>
      </c>
      <c r="D32" s="6" t="s">
        <v>55</v>
      </c>
      <c r="E32" s="6" t="s">
        <v>48</v>
      </c>
      <c r="F32" s="6" t="s">
        <v>42</v>
      </c>
      <c r="G32" s="6" t="s">
        <v>37</v>
      </c>
      <c r="H32" s="6" t="s">
        <v>72</v>
      </c>
      <c r="I32" s="6">
        <v>3</v>
      </c>
      <c r="J32" s="6">
        <v>800</v>
      </c>
      <c r="K32" s="12">
        <v>10</v>
      </c>
      <c r="L32" s="13">
        <v>2160</v>
      </c>
      <c r="M32" s="13">
        <v>1926.94</v>
      </c>
      <c r="N32" s="6">
        <v>233.06</v>
      </c>
      <c r="O32" s="6" t="s">
        <v>33</v>
      </c>
      <c r="P32" s="14">
        <v>45702</v>
      </c>
    </row>
    <row r="33" spans="1:16" ht="15.6" x14ac:dyDescent="0.3">
      <c r="A33" s="7" t="s">
        <v>84</v>
      </c>
      <c r="B33" s="8">
        <f t="shared" si="0"/>
        <v>45677</v>
      </c>
      <c r="C33" s="9" t="s">
        <v>15</v>
      </c>
      <c r="D33" s="9" t="s">
        <v>55</v>
      </c>
      <c r="E33" s="9" t="s">
        <v>25</v>
      </c>
      <c r="F33" s="9" t="s">
        <v>36</v>
      </c>
      <c r="G33" s="9" t="s">
        <v>26</v>
      </c>
      <c r="H33" s="9" t="s">
        <v>70</v>
      </c>
      <c r="I33" s="9">
        <v>4</v>
      </c>
      <c r="J33" s="9">
        <v>10000</v>
      </c>
      <c r="K33" s="15">
        <v>15</v>
      </c>
      <c r="L33" s="16">
        <v>34000</v>
      </c>
      <c r="M33" s="16">
        <v>24174.68</v>
      </c>
      <c r="N33" s="9">
        <v>9825.32</v>
      </c>
      <c r="O33" s="9" t="s">
        <v>33</v>
      </c>
      <c r="P33" s="17">
        <v>45677</v>
      </c>
    </row>
    <row r="34" spans="1:16" ht="15.6" x14ac:dyDescent="0.3">
      <c r="A34" s="4" t="s">
        <v>85</v>
      </c>
      <c r="B34" s="5">
        <f t="shared" si="0"/>
        <v>45900</v>
      </c>
      <c r="C34" s="6" t="s">
        <v>30</v>
      </c>
      <c r="D34" s="6" t="s">
        <v>50</v>
      </c>
      <c r="E34" s="6" t="s">
        <v>32</v>
      </c>
      <c r="F34" s="6" t="s">
        <v>42</v>
      </c>
      <c r="G34" s="6" t="s">
        <v>26</v>
      </c>
      <c r="H34" s="6" t="s">
        <v>70</v>
      </c>
      <c r="I34" s="6">
        <v>5</v>
      </c>
      <c r="J34" s="6">
        <v>10000</v>
      </c>
      <c r="K34" s="12">
        <v>10</v>
      </c>
      <c r="L34" s="13">
        <v>45000</v>
      </c>
      <c r="M34" s="13">
        <v>40444.199999999997</v>
      </c>
      <c r="N34" s="6">
        <v>4555.8</v>
      </c>
      <c r="O34" s="6" t="s">
        <v>28</v>
      </c>
      <c r="P34" s="14">
        <v>45900</v>
      </c>
    </row>
    <row r="35" spans="1:16" ht="15.6" x14ac:dyDescent="0.3">
      <c r="A35" s="7" t="s">
        <v>86</v>
      </c>
      <c r="B35" s="8">
        <f t="shared" si="0"/>
        <v>45852</v>
      </c>
      <c r="C35" s="9" t="s">
        <v>30</v>
      </c>
      <c r="D35" s="9" t="s">
        <v>50</v>
      </c>
      <c r="E35" s="9" t="s">
        <v>35</v>
      </c>
      <c r="F35" s="9" t="s">
        <v>51</v>
      </c>
      <c r="G35" s="9" t="s">
        <v>26</v>
      </c>
      <c r="H35" s="9" t="s">
        <v>27</v>
      </c>
      <c r="I35" s="9">
        <v>1</v>
      </c>
      <c r="J35" s="9">
        <v>6000</v>
      </c>
      <c r="K35" s="15">
        <v>5</v>
      </c>
      <c r="L35" s="16">
        <v>5700</v>
      </c>
      <c r="M35" s="16">
        <v>4186.0200000000004</v>
      </c>
      <c r="N35" s="9">
        <v>1513.98</v>
      </c>
      <c r="O35" s="9" t="s">
        <v>21</v>
      </c>
      <c r="P35" s="17">
        <v>45852</v>
      </c>
    </row>
    <row r="36" spans="1:16" ht="15.6" x14ac:dyDescent="0.3">
      <c r="A36" s="4" t="s">
        <v>87</v>
      </c>
      <c r="B36" s="5">
        <f t="shared" si="0"/>
        <v>45896</v>
      </c>
      <c r="C36" s="6" t="s">
        <v>23</v>
      </c>
      <c r="D36" s="6" t="s">
        <v>24</v>
      </c>
      <c r="E36" s="6" t="s">
        <v>32</v>
      </c>
      <c r="F36" s="6" t="s">
        <v>18</v>
      </c>
      <c r="G36" s="6" t="s">
        <v>26</v>
      </c>
      <c r="H36" s="6" t="s">
        <v>70</v>
      </c>
      <c r="I36" s="6">
        <v>5</v>
      </c>
      <c r="J36" s="6">
        <v>10000</v>
      </c>
      <c r="K36" s="12">
        <v>15</v>
      </c>
      <c r="L36" s="13">
        <v>42500</v>
      </c>
      <c r="M36" s="13">
        <v>35700.97</v>
      </c>
      <c r="N36" s="6">
        <v>6799.03</v>
      </c>
      <c r="O36" s="6" t="s">
        <v>21</v>
      </c>
      <c r="P36" s="14">
        <v>45896</v>
      </c>
    </row>
    <row r="37" spans="1:16" ht="15.6" x14ac:dyDescent="0.3">
      <c r="A37" s="7" t="s">
        <v>88</v>
      </c>
      <c r="B37" s="8">
        <f t="shared" si="0"/>
        <v>45715</v>
      </c>
      <c r="C37" s="9" t="s">
        <v>23</v>
      </c>
      <c r="D37" s="9" t="s">
        <v>24</v>
      </c>
      <c r="E37" s="9" t="s">
        <v>35</v>
      </c>
      <c r="F37" s="9" t="s">
        <v>51</v>
      </c>
      <c r="G37" s="9" t="s">
        <v>19</v>
      </c>
      <c r="H37" s="9" t="s">
        <v>43</v>
      </c>
      <c r="I37" s="9">
        <v>5</v>
      </c>
      <c r="J37" s="9">
        <v>55000</v>
      </c>
      <c r="K37" s="15">
        <v>0</v>
      </c>
      <c r="L37" s="16">
        <v>275000</v>
      </c>
      <c r="M37" s="16">
        <v>202237.09</v>
      </c>
      <c r="N37" s="9">
        <v>72762.91</v>
      </c>
      <c r="O37" s="9" t="s">
        <v>33</v>
      </c>
      <c r="P37" s="17">
        <v>45715</v>
      </c>
    </row>
    <row r="38" spans="1:16" ht="15.6" x14ac:dyDescent="0.3">
      <c r="A38" s="4" t="s">
        <v>89</v>
      </c>
      <c r="B38" s="5">
        <f t="shared" si="0"/>
        <v>45713</v>
      </c>
      <c r="C38" s="6" t="s">
        <v>23</v>
      </c>
      <c r="D38" s="6" t="s">
        <v>90</v>
      </c>
      <c r="E38" s="6" t="s">
        <v>35</v>
      </c>
      <c r="F38" s="6" t="s">
        <v>51</v>
      </c>
      <c r="G38" s="6" t="s">
        <v>26</v>
      </c>
      <c r="H38" s="6" t="s">
        <v>27</v>
      </c>
      <c r="I38" s="6">
        <v>8</v>
      </c>
      <c r="J38" s="6">
        <v>6000</v>
      </c>
      <c r="K38" s="12">
        <v>5</v>
      </c>
      <c r="L38" s="13">
        <v>45600</v>
      </c>
      <c r="M38" s="13">
        <v>38425.82</v>
      </c>
      <c r="N38" s="6">
        <v>7174.18</v>
      </c>
      <c r="O38" s="6" t="s">
        <v>44</v>
      </c>
      <c r="P38" s="14">
        <v>45713</v>
      </c>
    </row>
    <row r="39" spans="1:16" ht="15.6" x14ac:dyDescent="0.3">
      <c r="A39" s="7" t="s">
        <v>91</v>
      </c>
      <c r="B39" s="8">
        <f t="shared" si="0"/>
        <v>45765</v>
      </c>
      <c r="C39" s="9" t="s">
        <v>40</v>
      </c>
      <c r="D39" s="9" t="s">
        <v>92</v>
      </c>
      <c r="E39" s="9" t="s">
        <v>25</v>
      </c>
      <c r="F39" s="9" t="s">
        <v>65</v>
      </c>
      <c r="G39" s="9" t="s">
        <v>19</v>
      </c>
      <c r="H39" s="9" t="s">
        <v>52</v>
      </c>
      <c r="I39" s="9">
        <v>8</v>
      </c>
      <c r="J39" s="9">
        <v>1500</v>
      </c>
      <c r="K39" s="15">
        <v>0</v>
      </c>
      <c r="L39" s="16">
        <v>12000</v>
      </c>
      <c r="M39" s="16">
        <v>10604.15</v>
      </c>
      <c r="N39" s="9">
        <v>1395.85</v>
      </c>
      <c r="O39" s="9" t="s">
        <v>28</v>
      </c>
      <c r="P39" s="17">
        <v>45765</v>
      </c>
    </row>
    <row r="40" spans="1:16" ht="15.6" x14ac:dyDescent="0.3">
      <c r="A40" s="4" t="s">
        <v>93</v>
      </c>
      <c r="B40" s="5">
        <f t="shared" si="0"/>
        <v>45816</v>
      </c>
      <c r="C40" s="6" t="s">
        <v>23</v>
      </c>
      <c r="D40" s="6" t="s">
        <v>90</v>
      </c>
      <c r="E40" s="6" t="s">
        <v>59</v>
      </c>
      <c r="F40" s="6" t="s">
        <v>36</v>
      </c>
      <c r="G40" s="6" t="s">
        <v>26</v>
      </c>
      <c r="H40" s="6" t="s">
        <v>27</v>
      </c>
      <c r="I40" s="6">
        <v>5</v>
      </c>
      <c r="J40" s="6">
        <v>6000</v>
      </c>
      <c r="K40" s="12">
        <v>5</v>
      </c>
      <c r="L40" s="13">
        <v>28500</v>
      </c>
      <c r="M40" s="13">
        <v>21367.91</v>
      </c>
      <c r="N40" s="6">
        <v>7132.09</v>
      </c>
      <c r="O40" s="6" t="s">
        <v>21</v>
      </c>
      <c r="P40" s="14">
        <v>45816</v>
      </c>
    </row>
    <row r="41" spans="1:16" ht="15.6" x14ac:dyDescent="0.3">
      <c r="A41" s="7" t="s">
        <v>94</v>
      </c>
      <c r="B41" s="8">
        <f t="shared" si="0"/>
        <v>45959</v>
      </c>
      <c r="C41" s="9" t="s">
        <v>30</v>
      </c>
      <c r="D41" s="9" t="s">
        <v>31</v>
      </c>
      <c r="E41" s="9" t="s">
        <v>25</v>
      </c>
      <c r="F41" s="9" t="s">
        <v>42</v>
      </c>
      <c r="G41" s="9" t="s">
        <v>37</v>
      </c>
      <c r="H41" s="9" t="s">
        <v>56</v>
      </c>
      <c r="I41" s="9">
        <v>9</v>
      </c>
      <c r="J41" s="9">
        <v>2500</v>
      </c>
      <c r="K41" s="15">
        <v>15</v>
      </c>
      <c r="L41" s="16">
        <v>19125</v>
      </c>
      <c r="M41" s="16">
        <v>13312.65</v>
      </c>
      <c r="N41" s="9">
        <v>5812.35</v>
      </c>
      <c r="O41" s="9" t="s">
        <v>28</v>
      </c>
      <c r="P41" s="17">
        <v>45959</v>
      </c>
    </row>
    <row r="42" spans="1:16" ht="15.6" x14ac:dyDescent="0.3">
      <c r="A42" s="4" t="s">
        <v>95</v>
      </c>
      <c r="B42" s="5">
        <f t="shared" si="0"/>
        <v>46022</v>
      </c>
      <c r="C42" s="6" t="s">
        <v>15</v>
      </c>
      <c r="D42" s="6" t="s">
        <v>16</v>
      </c>
      <c r="E42" s="6" t="s">
        <v>35</v>
      </c>
      <c r="F42" s="6" t="s">
        <v>36</v>
      </c>
      <c r="G42" s="6" t="s">
        <v>37</v>
      </c>
      <c r="H42" s="6" t="s">
        <v>72</v>
      </c>
      <c r="I42" s="6">
        <v>6</v>
      </c>
      <c r="J42" s="6">
        <v>800</v>
      </c>
      <c r="K42" s="12">
        <v>15</v>
      </c>
      <c r="L42" s="13">
        <v>4080</v>
      </c>
      <c r="M42" s="13">
        <v>3485.64</v>
      </c>
      <c r="N42" s="6">
        <v>594.36</v>
      </c>
      <c r="O42" s="6" t="s">
        <v>21</v>
      </c>
      <c r="P42" s="14">
        <v>46022</v>
      </c>
    </row>
    <row r="43" spans="1:16" ht="15.6" x14ac:dyDescent="0.3">
      <c r="A43" s="7" t="s">
        <v>96</v>
      </c>
      <c r="B43" s="8">
        <f t="shared" si="0"/>
        <v>45825</v>
      </c>
      <c r="C43" s="9" t="s">
        <v>40</v>
      </c>
      <c r="D43" s="9" t="s">
        <v>41</v>
      </c>
      <c r="E43" s="9" t="s">
        <v>48</v>
      </c>
      <c r="F43" s="9" t="s">
        <v>42</v>
      </c>
      <c r="G43" s="9" t="s">
        <v>19</v>
      </c>
      <c r="H43" s="9" t="s">
        <v>52</v>
      </c>
      <c r="I43" s="9">
        <v>4</v>
      </c>
      <c r="J43" s="9">
        <v>1500</v>
      </c>
      <c r="K43" s="15">
        <v>0</v>
      </c>
      <c r="L43" s="16">
        <v>6000</v>
      </c>
      <c r="M43" s="16">
        <v>4109.12</v>
      </c>
      <c r="N43" s="9">
        <v>1890.88</v>
      </c>
      <c r="O43" s="9" t="s">
        <v>21</v>
      </c>
      <c r="P43" s="17">
        <v>45825</v>
      </c>
    </row>
    <row r="44" spans="1:16" ht="15.6" x14ac:dyDescent="0.3">
      <c r="A44" s="4" t="s">
        <v>97</v>
      </c>
      <c r="B44" s="5">
        <f t="shared" si="0"/>
        <v>45758</v>
      </c>
      <c r="C44" s="6" t="s">
        <v>30</v>
      </c>
      <c r="D44" s="6" t="s">
        <v>31</v>
      </c>
      <c r="E44" s="6" t="s">
        <v>17</v>
      </c>
      <c r="F44" s="6" t="s">
        <v>18</v>
      </c>
      <c r="G44" s="6" t="s">
        <v>37</v>
      </c>
      <c r="H44" s="6" t="s">
        <v>56</v>
      </c>
      <c r="I44" s="6">
        <v>5</v>
      </c>
      <c r="J44" s="6">
        <v>2500</v>
      </c>
      <c r="K44" s="12">
        <v>0</v>
      </c>
      <c r="L44" s="13">
        <v>12500</v>
      </c>
      <c r="M44" s="13">
        <v>8506.19</v>
      </c>
      <c r="N44" s="6">
        <v>3993.81</v>
      </c>
      <c r="O44" s="6" t="s">
        <v>28</v>
      </c>
      <c r="P44" s="14">
        <v>45758</v>
      </c>
    </row>
    <row r="45" spans="1:16" ht="15.6" x14ac:dyDescent="0.3">
      <c r="A45" s="7" t="s">
        <v>98</v>
      </c>
      <c r="B45" s="8">
        <f t="shared" si="0"/>
        <v>45736</v>
      </c>
      <c r="C45" s="9" t="s">
        <v>15</v>
      </c>
      <c r="D45" s="9" t="s">
        <v>16</v>
      </c>
      <c r="E45" s="9" t="s">
        <v>32</v>
      </c>
      <c r="F45" s="9" t="s">
        <v>65</v>
      </c>
      <c r="G45" s="9" t="s">
        <v>37</v>
      </c>
      <c r="H45" s="9" t="s">
        <v>38</v>
      </c>
      <c r="I45" s="9">
        <v>1</v>
      </c>
      <c r="J45" s="9">
        <v>900</v>
      </c>
      <c r="K45" s="15">
        <v>10</v>
      </c>
      <c r="L45" s="16">
        <v>810</v>
      </c>
      <c r="M45" s="16">
        <v>688.82</v>
      </c>
      <c r="N45" s="9">
        <v>121.18</v>
      </c>
      <c r="O45" s="9" t="s">
        <v>21</v>
      </c>
      <c r="P45" s="17">
        <v>45736</v>
      </c>
    </row>
    <row r="46" spans="1:16" ht="15.6" x14ac:dyDescent="0.3">
      <c r="A46" s="4" t="s">
        <v>99</v>
      </c>
      <c r="B46" s="5">
        <f t="shared" si="0"/>
        <v>45775</v>
      </c>
      <c r="C46" s="6" t="s">
        <v>40</v>
      </c>
      <c r="D46" s="6" t="s">
        <v>92</v>
      </c>
      <c r="E46" s="6" t="s">
        <v>32</v>
      </c>
      <c r="F46" s="6" t="s">
        <v>42</v>
      </c>
      <c r="G46" s="6" t="s">
        <v>19</v>
      </c>
      <c r="H46" s="6" t="s">
        <v>20</v>
      </c>
      <c r="I46" s="6">
        <v>1</v>
      </c>
      <c r="J46" s="6">
        <v>12000</v>
      </c>
      <c r="K46" s="12">
        <v>0</v>
      </c>
      <c r="L46" s="13">
        <v>12000</v>
      </c>
      <c r="M46" s="13">
        <v>9250.42</v>
      </c>
      <c r="N46" s="6">
        <v>2749.58</v>
      </c>
      <c r="O46" s="6" t="s">
        <v>44</v>
      </c>
      <c r="P46" s="14">
        <v>45775</v>
      </c>
    </row>
    <row r="47" spans="1:16" ht="15.6" x14ac:dyDescent="0.3">
      <c r="A47" s="7" t="s">
        <v>100</v>
      </c>
      <c r="B47" s="8">
        <f t="shared" si="0"/>
        <v>45977</v>
      </c>
      <c r="C47" s="9" t="s">
        <v>40</v>
      </c>
      <c r="D47" s="9" t="s">
        <v>41</v>
      </c>
      <c r="E47" s="9" t="s">
        <v>17</v>
      </c>
      <c r="F47" s="9" t="s">
        <v>62</v>
      </c>
      <c r="G47" s="9" t="s">
        <v>26</v>
      </c>
      <c r="H47" s="9" t="s">
        <v>27</v>
      </c>
      <c r="I47" s="9">
        <v>5</v>
      </c>
      <c r="J47" s="9">
        <v>6000</v>
      </c>
      <c r="K47" s="15">
        <v>10</v>
      </c>
      <c r="L47" s="16">
        <v>27000</v>
      </c>
      <c r="M47" s="16">
        <v>24032.240000000002</v>
      </c>
      <c r="N47" s="9">
        <v>2967.76</v>
      </c>
      <c r="O47" s="9" t="s">
        <v>21</v>
      </c>
      <c r="P47" s="17">
        <v>45977</v>
      </c>
    </row>
    <row r="48" spans="1:16" ht="15.6" x14ac:dyDescent="0.3">
      <c r="A48" s="4" t="s">
        <v>101</v>
      </c>
      <c r="B48" s="5">
        <f t="shared" si="0"/>
        <v>45833</v>
      </c>
      <c r="C48" s="6" t="s">
        <v>30</v>
      </c>
      <c r="D48" s="6" t="s">
        <v>31</v>
      </c>
      <c r="E48" s="6" t="s">
        <v>25</v>
      </c>
      <c r="F48" s="6" t="s">
        <v>42</v>
      </c>
      <c r="G48" s="6" t="s">
        <v>26</v>
      </c>
      <c r="H48" s="6" t="s">
        <v>27</v>
      </c>
      <c r="I48" s="6">
        <v>10</v>
      </c>
      <c r="J48" s="6">
        <v>6000</v>
      </c>
      <c r="K48" s="12">
        <v>10</v>
      </c>
      <c r="L48" s="13">
        <v>54000</v>
      </c>
      <c r="M48" s="13">
        <v>38767.89</v>
      </c>
      <c r="N48" s="6">
        <v>15232.11</v>
      </c>
      <c r="O48" s="6" t="s">
        <v>21</v>
      </c>
      <c r="P48" s="14">
        <v>45833</v>
      </c>
    </row>
    <row r="49" spans="1:16" ht="15.6" x14ac:dyDescent="0.3">
      <c r="A49" s="7" t="s">
        <v>102</v>
      </c>
      <c r="B49" s="8">
        <f t="shared" si="0"/>
        <v>45962</v>
      </c>
      <c r="C49" s="9" t="s">
        <v>30</v>
      </c>
      <c r="D49" s="9" t="s">
        <v>50</v>
      </c>
      <c r="E49" s="9" t="s">
        <v>25</v>
      </c>
      <c r="F49" s="9" t="s">
        <v>18</v>
      </c>
      <c r="G49" s="9" t="s">
        <v>37</v>
      </c>
      <c r="H49" s="9" t="s">
        <v>72</v>
      </c>
      <c r="I49" s="9">
        <v>1</v>
      </c>
      <c r="J49" s="9">
        <v>800</v>
      </c>
      <c r="K49" s="15">
        <v>0</v>
      </c>
      <c r="L49" s="16">
        <v>800</v>
      </c>
      <c r="M49" s="16">
        <v>605.70000000000005</v>
      </c>
      <c r="N49" s="9">
        <v>194.3</v>
      </c>
      <c r="O49" s="9" t="s">
        <v>28</v>
      </c>
      <c r="P49" s="17">
        <v>45962</v>
      </c>
    </row>
    <row r="50" spans="1:16" ht="15.6" x14ac:dyDescent="0.3">
      <c r="A50" s="4" t="s">
        <v>103</v>
      </c>
      <c r="B50" s="5">
        <f t="shared" si="0"/>
        <v>45692</v>
      </c>
      <c r="C50" s="6" t="s">
        <v>15</v>
      </c>
      <c r="D50" s="6" t="s">
        <v>16</v>
      </c>
      <c r="E50" s="6" t="s">
        <v>48</v>
      </c>
      <c r="F50" s="6" t="s">
        <v>18</v>
      </c>
      <c r="G50" s="6" t="s">
        <v>19</v>
      </c>
      <c r="H50" s="6" t="s">
        <v>43</v>
      </c>
      <c r="I50" s="6">
        <v>3</v>
      </c>
      <c r="J50" s="6">
        <v>55000</v>
      </c>
      <c r="K50" s="12">
        <v>10</v>
      </c>
      <c r="L50" s="13">
        <v>148500</v>
      </c>
      <c r="M50" s="13">
        <v>132078.79</v>
      </c>
      <c r="N50" s="6">
        <v>16421.21</v>
      </c>
      <c r="O50" s="6" t="s">
        <v>28</v>
      </c>
      <c r="P50" s="14">
        <v>45692</v>
      </c>
    </row>
    <row r="51" spans="1:16" ht="15.6" x14ac:dyDescent="0.3">
      <c r="A51" s="7" t="s">
        <v>104</v>
      </c>
      <c r="B51" s="8">
        <f t="shared" si="0"/>
        <v>45766</v>
      </c>
      <c r="C51" s="9" t="s">
        <v>30</v>
      </c>
      <c r="D51" s="9" t="s">
        <v>31</v>
      </c>
      <c r="E51" s="9" t="s">
        <v>35</v>
      </c>
      <c r="F51" s="9" t="s">
        <v>18</v>
      </c>
      <c r="G51" s="9" t="s">
        <v>37</v>
      </c>
      <c r="H51" s="9" t="s">
        <v>38</v>
      </c>
      <c r="I51" s="9">
        <v>1</v>
      </c>
      <c r="J51" s="9">
        <v>900</v>
      </c>
      <c r="K51" s="15">
        <v>0</v>
      </c>
      <c r="L51" s="16">
        <v>900</v>
      </c>
      <c r="M51" s="16">
        <v>608.16999999999996</v>
      </c>
      <c r="N51" s="9">
        <v>291.83</v>
      </c>
      <c r="O51" s="9" t="s">
        <v>21</v>
      </c>
      <c r="P51" s="17">
        <v>45766</v>
      </c>
    </row>
    <row r="52" spans="1:16" ht="15.6" x14ac:dyDescent="0.3">
      <c r="A52" s="4" t="s">
        <v>105</v>
      </c>
      <c r="B52" s="5">
        <f t="shared" si="0"/>
        <v>45885</v>
      </c>
      <c r="C52" s="6" t="s">
        <v>40</v>
      </c>
      <c r="D52" s="6" t="s">
        <v>41</v>
      </c>
      <c r="E52" s="6" t="s">
        <v>48</v>
      </c>
      <c r="F52" s="6" t="s">
        <v>62</v>
      </c>
      <c r="G52" s="6" t="s">
        <v>19</v>
      </c>
      <c r="H52" s="6" t="s">
        <v>43</v>
      </c>
      <c r="I52" s="6">
        <v>9</v>
      </c>
      <c r="J52" s="6">
        <v>55000</v>
      </c>
      <c r="K52" s="12">
        <v>15</v>
      </c>
      <c r="L52" s="13">
        <v>420750</v>
      </c>
      <c r="M52" s="13">
        <v>289397.28999999998</v>
      </c>
      <c r="N52" s="6">
        <v>131352.71</v>
      </c>
      <c r="O52" s="6" t="s">
        <v>44</v>
      </c>
      <c r="P52" s="14">
        <v>45885</v>
      </c>
    </row>
    <row r="53" spans="1:16" ht="15.6" x14ac:dyDescent="0.3">
      <c r="A53" s="7" t="s">
        <v>106</v>
      </c>
      <c r="B53" s="8">
        <f t="shared" si="0"/>
        <v>45733</v>
      </c>
      <c r="C53" s="9" t="s">
        <v>15</v>
      </c>
      <c r="D53" s="9" t="s">
        <v>55</v>
      </c>
      <c r="E53" s="9" t="s">
        <v>35</v>
      </c>
      <c r="F53" s="9" t="s">
        <v>62</v>
      </c>
      <c r="G53" s="9" t="s">
        <v>19</v>
      </c>
      <c r="H53" s="9" t="s">
        <v>43</v>
      </c>
      <c r="I53" s="9">
        <v>7</v>
      </c>
      <c r="J53" s="9">
        <v>55000</v>
      </c>
      <c r="K53" s="15">
        <v>15</v>
      </c>
      <c r="L53" s="16">
        <v>327250</v>
      </c>
      <c r="M53" s="16">
        <v>218378.3</v>
      </c>
      <c r="N53" s="9">
        <v>108871.7</v>
      </c>
      <c r="O53" s="9" t="s">
        <v>33</v>
      </c>
      <c r="P53" s="17">
        <v>45733</v>
      </c>
    </row>
    <row r="54" spans="1:16" ht="15.6" x14ac:dyDescent="0.3">
      <c r="A54" s="4" t="s">
        <v>107</v>
      </c>
      <c r="B54" s="5">
        <f t="shared" si="0"/>
        <v>45995</v>
      </c>
      <c r="C54" s="6" t="s">
        <v>30</v>
      </c>
      <c r="D54" s="6" t="s">
        <v>31</v>
      </c>
      <c r="E54" s="6" t="s">
        <v>35</v>
      </c>
      <c r="F54" s="6" t="s">
        <v>42</v>
      </c>
      <c r="G54" s="6" t="s">
        <v>37</v>
      </c>
      <c r="H54" s="6" t="s">
        <v>38</v>
      </c>
      <c r="I54" s="6">
        <v>8</v>
      </c>
      <c r="J54" s="6">
        <v>900</v>
      </c>
      <c r="K54" s="12">
        <v>10</v>
      </c>
      <c r="L54" s="13">
        <v>6480</v>
      </c>
      <c r="M54" s="13">
        <v>5538.92</v>
      </c>
      <c r="N54" s="6">
        <v>941.08</v>
      </c>
      <c r="O54" s="6" t="s">
        <v>44</v>
      </c>
      <c r="P54" s="14">
        <v>45995</v>
      </c>
    </row>
    <row r="55" spans="1:16" ht="15.6" x14ac:dyDescent="0.3">
      <c r="A55" s="7" t="s">
        <v>108</v>
      </c>
      <c r="B55" s="8">
        <f t="shared" si="0"/>
        <v>45836</v>
      </c>
      <c r="C55" s="9" t="s">
        <v>23</v>
      </c>
      <c r="D55" s="9" t="s">
        <v>90</v>
      </c>
      <c r="E55" s="9" t="s">
        <v>25</v>
      </c>
      <c r="F55" s="9" t="s">
        <v>18</v>
      </c>
      <c r="G55" s="9" t="s">
        <v>26</v>
      </c>
      <c r="H55" s="9" t="s">
        <v>27</v>
      </c>
      <c r="I55" s="9">
        <v>3</v>
      </c>
      <c r="J55" s="9">
        <v>6000</v>
      </c>
      <c r="K55" s="15">
        <v>15</v>
      </c>
      <c r="L55" s="16">
        <v>15300</v>
      </c>
      <c r="M55" s="16">
        <v>10523.36</v>
      </c>
      <c r="N55" s="9">
        <v>4776.6400000000003</v>
      </c>
      <c r="O55" s="9" t="s">
        <v>44</v>
      </c>
      <c r="P55" s="17">
        <v>45836</v>
      </c>
    </row>
    <row r="56" spans="1:16" ht="15.6" x14ac:dyDescent="0.3">
      <c r="A56" s="4" t="s">
        <v>109</v>
      </c>
      <c r="B56" s="5">
        <f t="shared" si="0"/>
        <v>45914</v>
      </c>
      <c r="C56" s="6" t="s">
        <v>40</v>
      </c>
      <c r="D56" s="6" t="s">
        <v>41</v>
      </c>
      <c r="E56" s="6" t="s">
        <v>32</v>
      </c>
      <c r="F56" s="6" t="s">
        <v>65</v>
      </c>
      <c r="G56" s="6" t="s">
        <v>26</v>
      </c>
      <c r="H56" s="6" t="s">
        <v>27</v>
      </c>
      <c r="I56" s="6">
        <v>7</v>
      </c>
      <c r="J56" s="6">
        <v>6000</v>
      </c>
      <c r="K56" s="12">
        <v>0</v>
      </c>
      <c r="L56" s="13">
        <v>42000</v>
      </c>
      <c r="M56" s="13">
        <v>33942.370000000003</v>
      </c>
      <c r="N56" s="6">
        <v>8057.63</v>
      </c>
      <c r="O56" s="6" t="s">
        <v>21</v>
      </c>
      <c r="P56" s="14">
        <v>45914</v>
      </c>
    </row>
    <row r="57" spans="1:16" ht="15.6" x14ac:dyDescent="0.3">
      <c r="A57" s="7" t="s">
        <v>110</v>
      </c>
      <c r="B57" s="8">
        <f t="shared" si="0"/>
        <v>45705</v>
      </c>
      <c r="C57" s="9" t="s">
        <v>15</v>
      </c>
      <c r="D57" s="9" t="s">
        <v>55</v>
      </c>
      <c r="E57" s="9" t="s">
        <v>35</v>
      </c>
      <c r="F57" s="9" t="s">
        <v>18</v>
      </c>
      <c r="G57" s="9" t="s">
        <v>37</v>
      </c>
      <c r="H57" s="9" t="s">
        <v>72</v>
      </c>
      <c r="I57" s="9">
        <v>1</v>
      </c>
      <c r="J57" s="9">
        <v>800</v>
      </c>
      <c r="K57" s="15">
        <v>10</v>
      </c>
      <c r="L57" s="16">
        <v>720</v>
      </c>
      <c r="M57" s="16">
        <v>549.79999999999995</v>
      </c>
      <c r="N57" s="9">
        <v>170.2</v>
      </c>
      <c r="O57" s="9" t="s">
        <v>21</v>
      </c>
      <c r="P57" s="17">
        <v>45705</v>
      </c>
    </row>
    <row r="58" spans="1:16" ht="15.6" x14ac:dyDescent="0.3">
      <c r="A58" s="4" t="s">
        <v>111</v>
      </c>
      <c r="B58" s="5">
        <f t="shared" si="0"/>
        <v>46017</v>
      </c>
      <c r="C58" s="6" t="s">
        <v>40</v>
      </c>
      <c r="D58" s="6" t="s">
        <v>41</v>
      </c>
      <c r="E58" s="6" t="s">
        <v>32</v>
      </c>
      <c r="F58" s="6" t="s">
        <v>65</v>
      </c>
      <c r="G58" s="6" t="s">
        <v>19</v>
      </c>
      <c r="H58" s="6" t="s">
        <v>20</v>
      </c>
      <c r="I58" s="6">
        <v>9</v>
      </c>
      <c r="J58" s="6">
        <v>12000</v>
      </c>
      <c r="K58" s="12">
        <v>15</v>
      </c>
      <c r="L58" s="13">
        <v>91800</v>
      </c>
      <c r="M58" s="13">
        <v>77716.160000000003</v>
      </c>
      <c r="N58" s="6">
        <v>14083.84</v>
      </c>
      <c r="O58" s="6" t="s">
        <v>33</v>
      </c>
      <c r="P58" s="14">
        <v>46017</v>
      </c>
    </row>
    <row r="59" spans="1:16" ht="15.6" x14ac:dyDescent="0.3">
      <c r="A59" s="7" t="s">
        <v>112</v>
      </c>
      <c r="B59" s="8">
        <f t="shared" si="0"/>
        <v>45928</v>
      </c>
      <c r="C59" s="9" t="s">
        <v>30</v>
      </c>
      <c r="D59" s="9" t="s">
        <v>50</v>
      </c>
      <c r="E59" s="9" t="s">
        <v>17</v>
      </c>
      <c r="F59" s="9" t="s">
        <v>65</v>
      </c>
      <c r="G59" s="9" t="s">
        <v>26</v>
      </c>
      <c r="H59" s="9" t="s">
        <v>70</v>
      </c>
      <c r="I59" s="9">
        <v>7</v>
      </c>
      <c r="J59" s="9">
        <v>10000</v>
      </c>
      <c r="K59" s="15">
        <v>15</v>
      </c>
      <c r="L59" s="16">
        <v>59500</v>
      </c>
      <c r="M59" s="16">
        <v>49229.39</v>
      </c>
      <c r="N59" s="9">
        <v>10270.61</v>
      </c>
      <c r="O59" s="9" t="s">
        <v>33</v>
      </c>
      <c r="P59" s="17">
        <v>45928</v>
      </c>
    </row>
    <row r="60" spans="1:16" ht="15.6" x14ac:dyDescent="0.3">
      <c r="A60" s="4" t="s">
        <v>113</v>
      </c>
      <c r="B60" s="5">
        <f t="shared" si="0"/>
        <v>45728</v>
      </c>
      <c r="C60" s="6" t="s">
        <v>40</v>
      </c>
      <c r="D60" s="6" t="s">
        <v>92</v>
      </c>
      <c r="E60" s="6" t="s">
        <v>35</v>
      </c>
      <c r="F60" s="6" t="s">
        <v>65</v>
      </c>
      <c r="G60" s="6" t="s">
        <v>19</v>
      </c>
      <c r="H60" s="6" t="s">
        <v>20</v>
      </c>
      <c r="I60" s="6">
        <v>6</v>
      </c>
      <c r="J60" s="6">
        <v>12000</v>
      </c>
      <c r="K60" s="12">
        <v>10</v>
      </c>
      <c r="L60" s="13">
        <v>64800</v>
      </c>
      <c r="M60" s="13">
        <v>50305.39</v>
      </c>
      <c r="N60" s="6">
        <v>14494.61</v>
      </c>
      <c r="O60" s="6" t="s">
        <v>21</v>
      </c>
      <c r="P60" s="14">
        <v>45728</v>
      </c>
    </row>
    <row r="61" spans="1:16" ht="15.6" x14ac:dyDescent="0.3">
      <c r="A61" s="7" t="s">
        <v>114</v>
      </c>
      <c r="B61" s="8">
        <f t="shared" si="0"/>
        <v>45696</v>
      </c>
      <c r="C61" s="9" t="s">
        <v>40</v>
      </c>
      <c r="D61" s="9" t="s">
        <v>41</v>
      </c>
      <c r="E61" s="9" t="s">
        <v>59</v>
      </c>
      <c r="F61" s="9" t="s">
        <v>36</v>
      </c>
      <c r="G61" s="9" t="s">
        <v>19</v>
      </c>
      <c r="H61" s="9" t="s">
        <v>52</v>
      </c>
      <c r="I61" s="9">
        <v>2</v>
      </c>
      <c r="J61" s="9">
        <v>1500</v>
      </c>
      <c r="K61" s="15">
        <v>5</v>
      </c>
      <c r="L61" s="16">
        <v>2850</v>
      </c>
      <c r="M61" s="16">
        <v>2053.9699999999998</v>
      </c>
      <c r="N61" s="9">
        <v>796.03</v>
      </c>
      <c r="O61" s="9" t="s">
        <v>33</v>
      </c>
      <c r="P61" s="17">
        <v>45696</v>
      </c>
    </row>
    <row r="62" spans="1:16" ht="15.6" x14ac:dyDescent="0.3">
      <c r="A62" s="4" t="s">
        <v>115</v>
      </c>
      <c r="B62" s="5">
        <f t="shared" si="0"/>
        <v>45861</v>
      </c>
      <c r="C62" s="6" t="s">
        <v>23</v>
      </c>
      <c r="D62" s="6" t="s">
        <v>90</v>
      </c>
      <c r="E62" s="6" t="s">
        <v>48</v>
      </c>
      <c r="F62" s="6" t="s">
        <v>42</v>
      </c>
      <c r="G62" s="6" t="s">
        <v>37</v>
      </c>
      <c r="H62" s="6" t="s">
        <v>72</v>
      </c>
      <c r="I62" s="6">
        <v>8</v>
      </c>
      <c r="J62" s="6">
        <v>800</v>
      </c>
      <c r="K62" s="12">
        <v>0</v>
      </c>
      <c r="L62" s="13">
        <v>6400</v>
      </c>
      <c r="M62" s="13">
        <v>4756.0600000000004</v>
      </c>
      <c r="N62" s="6">
        <v>1643.94</v>
      </c>
      <c r="O62" s="6" t="s">
        <v>44</v>
      </c>
      <c r="P62" s="14">
        <v>45861</v>
      </c>
    </row>
    <row r="63" spans="1:16" ht="15.6" x14ac:dyDescent="0.3">
      <c r="A63" s="7" t="s">
        <v>116</v>
      </c>
      <c r="B63" s="8">
        <f t="shared" si="0"/>
        <v>45827</v>
      </c>
      <c r="C63" s="9" t="s">
        <v>23</v>
      </c>
      <c r="D63" s="9" t="s">
        <v>24</v>
      </c>
      <c r="E63" s="9" t="s">
        <v>32</v>
      </c>
      <c r="F63" s="9" t="s">
        <v>18</v>
      </c>
      <c r="G63" s="9" t="s">
        <v>19</v>
      </c>
      <c r="H63" s="9" t="s">
        <v>52</v>
      </c>
      <c r="I63" s="9">
        <v>7</v>
      </c>
      <c r="J63" s="9">
        <v>1500</v>
      </c>
      <c r="K63" s="15">
        <v>5</v>
      </c>
      <c r="L63" s="16">
        <v>9975</v>
      </c>
      <c r="M63" s="16">
        <v>8372.33</v>
      </c>
      <c r="N63" s="9">
        <v>1602.67</v>
      </c>
      <c r="O63" s="9" t="s">
        <v>21</v>
      </c>
      <c r="P63" s="17">
        <v>45827</v>
      </c>
    </row>
    <row r="64" spans="1:16" ht="15.6" x14ac:dyDescent="0.3">
      <c r="A64" s="4" t="s">
        <v>117</v>
      </c>
      <c r="B64" s="5">
        <f t="shared" si="0"/>
        <v>45900</v>
      </c>
      <c r="C64" s="6" t="s">
        <v>23</v>
      </c>
      <c r="D64" s="6" t="s">
        <v>24</v>
      </c>
      <c r="E64" s="6" t="s">
        <v>59</v>
      </c>
      <c r="F64" s="6" t="s">
        <v>18</v>
      </c>
      <c r="G64" s="6" t="s">
        <v>19</v>
      </c>
      <c r="H64" s="6" t="s">
        <v>20</v>
      </c>
      <c r="I64" s="6">
        <v>10</v>
      </c>
      <c r="J64" s="6">
        <v>12000</v>
      </c>
      <c r="K64" s="12">
        <v>10</v>
      </c>
      <c r="L64" s="13">
        <v>108000</v>
      </c>
      <c r="M64" s="13">
        <v>75108.070000000007</v>
      </c>
      <c r="N64" s="6">
        <v>32891.93</v>
      </c>
      <c r="O64" s="6" t="s">
        <v>44</v>
      </c>
      <c r="P64" s="14">
        <v>45900</v>
      </c>
    </row>
    <row r="65" spans="1:16" ht="15.6" x14ac:dyDescent="0.3">
      <c r="A65" s="7" t="s">
        <v>118</v>
      </c>
      <c r="B65" s="8">
        <f t="shared" si="0"/>
        <v>45877</v>
      </c>
      <c r="C65" s="9" t="s">
        <v>23</v>
      </c>
      <c r="D65" s="9" t="s">
        <v>24</v>
      </c>
      <c r="E65" s="9" t="s">
        <v>59</v>
      </c>
      <c r="F65" s="9" t="s">
        <v>51</v>
      </c>
      <c r="G65" s="9" t="s">
        <v>19</v>
      </c>
      <c r="H65" s="9" t="s">
        <v>20</v>
      </c>
      <c r="I65" s="9">
        <v>1</v>
      </c>
      <c r="J65" s="9">
        <v>12000</v>
      </c>
      <c r="K65" s="15">
        <v>10</v>
      </c>
      <c r="L65" s="16">
        <v>10800</v>
      </c>
      <c r="M65" s="16">
        <v>9552.3799999999992</v>
      </c>
      <c r="N65" s="9">
        <v>1247.6199999999999</v>
      </c>
      <c r="O65" s="9" t="s">
        <v>33</v>
      </c>
      <c r="P65" s="17">
        <v>45877</v>
      </c>
    </row>
    <row r="66" spans="1:16" ht="15.6" x14ac:dyDescent="0.3">
      <c r="A66" s="4" t="s">
        <v>119</v>
      </c>
      <c r="B66" s="5">
        <f t="shared" ref="B66:B129" si="1">DATE(YEAR(P66),MONTH(P66),DAY(P66))</f>
        <v>45903</v>
      </c>
      <c r="C66" s="6" t="s">
        <v>30</v>
      </c>
      <c r="D66" s="6" t="s">
        <v>31</v>
      </c>
      <c r="E66" s="6" t="s">
        <v>17</v>
      </c>
      <c r="F66" s="6" t="s">
        <v>36</v>
      </c>
      <c r="G66" s="6" t="s">
        <v>26</v>
      </c>
      <c r="H66" s="6" t="s">
        <v>70</v>
      </c>
      <c r="I66" s="6">
        <v>9</v>
      </c>
      <c r="J66" s="6">
        <v>10000</v>
      </c>
      <c r="K66" s="12">
        <v>10</v>
      </c>
      <c r="L66" s="13">
        <v>81000</v>
      </c>
      <c r="M66" s="13">
        <v>70590.929999999993</v>
      </c>
      <c r="N66" s="6">
        <v>10409.07</v>
      </c>
      <c r="O66" s="6" t="s">
        <v>44</v>
      </c>
      <c r="P66" s="14">
        <v>45903</v>
      </c>
    </row>
    <row r="67" spans="1:16" ht="15.6" x14ac:dyDescent="0.3">
      <c r="A67" s="7" t="s">
        <v>120</v>
      </c>
      <c r="B67" s="8">
        <f t="shared" si="1"/>
        <v>46021</v>
      </c>
      <c r="C67" s="9" t="s">
        <v>30</v>
      </c>
      <c r="D67" s="9" t="s">
        <v>50</v>
      </c>
      <c r="E67" s="9" t="s">
        <v>59</v>
      </c>
      <c r="F67" s="9" t="s">
        <v>51</v>
      </c>
      <c r="G67" s="9" t="s">
        <v>26</v>
      </c>
      <c r="H67" s="9" t="s">
        <v>70</v>
      </c>
      <c r="I67" s="9">
        <v>4</v>
      </c>
      <c r="J67" s="9">
        <v>10000</v>
      </c>
      <c r="K67" s="15">
        <v>10</v>
      </c>
      <c r="L67" s="16">
        <v>36000</v>
      </c>
      <c r="M67" s="16">
        <v>29742.18</v>
      </c>
      <c r="N67" s="9">
        <v>6257.82</v>
      </c>
      <c r="O67" s="9" t="s">
        <v>44</v>
      </c>
      <c r="P67" s="17">
        <v>46021</v>
      </c>
    </row>
    <row r="68" spans="1:16" ht="15.6" x14ac:dyDescent="0.3">
      <c r="A68" s="4" t="s">
        <v>121</v>
      </c>
      <c r="B68" s="5">
        <f t="shared" si="1"/>
        <v>45702</v>
      </c>
      <c r="C68" s="6" t="s">
        <v>23</v>
      </c>
      <c r="D68" s="6" t="s">
        <v>24</v>
      </c>
      <c r="E68" s="6" t="s">
        <v>48</v>
      </c>
      <c r="F68" s="6" t="s">
        <v>65</v>
      </c>
      <c r="G68" s="6" t="s">
        <v>37</v>
      </c>
      <c r="H68" s="6" t="s">
        <v>72</v>
      </c>
      <c r="I68" s="6">
        <v>2</v>
      </c>
      <c r="J68" s="6">
        <v>800</v>
      </c>
      <c r="K68" s="12">
        <v>0</v>
      </c>
      <c r="L68" s="13">
        <v>1600</v>
      </c>
      <c r="M68" s="13">
        <v>1342.38</v>
      </c>
      <c r="N68" s="6">
        <v>257.62</v>
      </c>
      <c r="O68" s="6" t="s">
        <v>44</v>
      </c>
      <c r="P68" s="14">
        <v>45702</v>
      </c>
    </row>
    <row r="69" spans="1:16" ht="15.6" x14ac:dyDescent="0.3">
      <c r="A69" s="7" t="s">
        <v>122</v>
      </c>
      <c r="B69" s="8">
        <f t="shared" si="1"/>
        <v>45982</v>
      </c>
      <c r="C69" s="9" t="s">
        <v>40</v>
      </c>
      <c r="D69" s="9" t="s">
        <v>41</v>
      </c>
      <c r="E69" s="9" t="s">
        <v>25</v>
      </c>
      <c r="F69" s="9" t="s">
        <v>62</v>
      </c>
      <c r="G69" s="9" t="s">
        <v>19</v>
      </c>
      <c r="H69" s="9" t="s">
        <v>43</v>
      </c>
      <c r="I69" s="9">
        <v>8</v>
      </c>
      <c r="J69" s="9">
        <v>55000</v>
      </c>
      <c r="K69" s="15">
        <v>15</v>
      </c>
      <c r="L69" s="16">
        <v>374000</v>
      </c>
      <c r="M69" s="16">
        <v>273945.23</v>
      </c>
      <c r="N69" s="9">
        <v>100054.77</v>
      </c>
      <c r="O69" s="9" t="s">
        <v>21</v>
      </c>
      <c r="P69" s="17">
        <v>45982</v>
      </c>
    </row>
    <row r="70" spans="1:16" ht="15.6" x14ac:dyDescent="0.3">
      <c r="A70" s="4" t="s">
        <v>123</v>
      </c>
      <c r="B70" s="5">
        <f t="shared" si="1"/>
        <v>45948</v>
      </c>
      <c r="C70" s="6" t="s">
        <v>40</v>
      </c>
      <c r="D70" s="6" t="s">
        <v>41</v>
      </c>
      <c r="E70" s="6" t="s">
        <v>48</v>
      </c>
      <c r="F70" s="6" t="s">
        <v>42</v>
      </c>
      <c r="G70" s="6" t="s">
        <v>37</v>
      </c>
      <c r="H70" s="6" t="s">
        <v>56</v>
      </c>
      <c r="I70" s="6">
        <v>3</v>
      </c>
      <c r="J70" s="6">
        <v>2500</v>
      </c>
      <c r="K70" s="12">
        <v>5</v>
      </c>
      <c r="L70" s="13">
        <v>7125</v>
      </c>
      <c r="M70" s="13">
        <v>5216.0600000000004</v>
      </c>
      <c r="N70" s="6">
        <v>1908.94</v>
      </c>
      <c r="O70" s="6" t="s">
        <v>21</v>
      </c>
      <c r="P70" s="14">
        <v>45948</v>
      </c>
    </row>
    <row r="71" spans="1:16" ht="15.6" x14ac:dyDescent="0.3">
      <c r="A71" s="7" t="s">
        <v>124</v>
      </c>
      <c r="B71" s="8">
        <f t="shared" si="1"/>
        <v>45880</v>
      </c>
      <c r="C71" s="9" t="s">
        <v>15</v>
      </c>
      <c r="D71" s="9" t="s">
        <v>55</v>
      </c>
      <c r="E71" s="9" t="s">
        <v>59</v>
      </c>
      <c r="F71" s="9" t="s">
        <v>18</v>
      </c>
      <c r="G71" s="9" t="s">
        <v>37</v>
      </c>
      <c r="H71" s="9" t="s">
        <v>56</v>
      </c>
      <c r="I71" s="9">
        <v>7</v>
      </c>
      <c r="J71" s="9">
        <v>2500</v>
      </c>
      <c r="K71" s="15">
        <v>5</v>
      </c>
      <c r="L71" s="16">
        <v>16625</v>
      </c>
      <c r="M71" s="16">
        <v>13257.89</v>
      </c>
      <c r="N71" s="9">
        <v>3367.11</v>
      </c>
      <c r="O71" s="9" t="s">
        <v>33</v>
      </c>
      <c r="P71" s="17">
        <v>45880</v>
      </c>
    </row>
    <row r="72" spans="1:16" ht="15.6" x14ac:dyDescent="0.3">
      <c r="A72" s="4" t="s">
        <v>125</v>
      </c>
      <c r="B72" s="5">
        <f t="shared" si="1"/>
        <v>45779</v>
      </c>
      <c r="C72" s="6" t="s">
        <v>30</v>
      </c>
      <c r="D72" s="6" t="s">
        <v>31</v>
      </c>
      <c r="E72" s="6" t="s">
        <v>35</v>
      </c>
      <c r="F72" s="6" t="s">
        <v>36</v>
      </c>
      <c r="G72" s="6" t="s">
        <v>37</v>
      </c>
      <c r="H72" s="6" t="s">
        <v>56</v>
      </c>
      <c r="I72" s="6">
        <v>6</v>
      </c>
      <c r="J72" s="6">
        <v>2500</v>
      </c>
      <c r="K72" s="12">
        <v>15</v>
      </c>
      <c r="L72" s="13">
        <v>12750</v>
      </c>
      <c r="M72" s="13">
        <v>10386.77</v>
      </c>
      <c r="N72" s="6">
        <v>2363.23</v>
      </c>
      <c r="O72" s="6" t="s">
        <v>44</v>
      </c>
      <c r="P72" s="14">
        <v>45779</v>
      </c>
    </row>
    <row r="73" spans="1:16" ht="15.6" x14ac:dyDescent="0.3">
      <c r="A73" s="7" t="s">
        <v>126</v>
      </c>
      <c r="B73" s="8">
        <f t="shared" si="1"/>
        <v>45749</v>
      </c>
      <c r="C73" s="9" t="s">
        <v>30</v>
      </c>
      <c r="D73" s="9" t="s">
        <v>50</v>
      </c>
      <c r="E73" s="9" t="s">
        <v>32</v>
      </c>
      <c r="F73" s="9" t="s">
        <v>51</v>
      </c>
      <c r="G73" s="9" t="s">
        <v>26</v>
      </c>
      <c r="H73" s="9" t="s">
        <v>27</v>
      </c>
      <c r="I73" s="9">
        <v>7</v>
      </c>
      <c r="J73" s="9">
        <v>6000</v>
      </c>
      <c r="K73" s="15">
        <v>10</v>
      </c>
      <c r="L73" s="16">
        <v>37800</v>
      </c>
      <c r="M73" s="16">
        <v>28779.25</v>
      </c>
      <c r="N73" s="9">
        <v>9020.75</v>
      </c>
      <c r="O73" s="9" t="s">
        <v>28</v>
      </c>
      <c r="P73" s="17">
        <v>45749</v>
      </c>
    </row>
    <row r="74" spans="1:16" ht="15.6" x14ac:dyDescent="0.3">
      <c r="A74" s="4" t="s">
        <v>127</v>
      </c>
      <c r="B74" s="5">
        <f t="shared" si="1"/>
        <v>45801</v>
      </c>
      <c r="C74" s="6" t="s">
        <v>40</v>
      </c>
      <c r="D74" s="6" t="s">
        <v>41</v>
      </c>
      <c r="E74" s="6" t="s">
        <v>35</v>
      </c>
      <c r="F74" s="6" t="s">
        <v>18</v>
      </c>
      <c r="G74" s="6" t="s">
        <v>37</v>
      </c>
      <c r="H74" s="6" t="s">
        <v>38</v>
      </c>
      <c r="I74" s="6">
        <v>1</v>
      </c>
      <c r="J74" s="6">
        <v>900</v>
      </c>
      <c r="K74" s="12">
        <v>15</v>
      </c>
      <c r="L74" s="13">
        <v>765</v>
      </c>
      <c r="M74" s="13">
        <v>576.65</v>
      </c>
      <c r="N74" s="6">
        <v>188.35</v>
      </c>
      <c r="O74" s="6" t="s">
        <v>44</v>
      </c>
      <c r="P74" s="14">
        <v>45801</v>
      </c>
    </row>
    <row r="75" spans="1:16" ht="15.6" x14ac:dyDescent="0.3">
      <c r="A75" s="7" t="s">
        <v>128</v>
      </c>
      <c r="B75" s="8">
        <f t="shared" si="1"/>
        <v>45796</v>
      </c>
      <c r="C75" s="9" t="s">
        <v>23</v>
      </c>
      <c r="D75" s="9" t="s">
        <v>24</v>
      </c>
      <c r="E75" s="9" t="s">
        <v>35</v>
      </c>
      <c r="F75" s="9" t="s">
        <v>36</v>
      </c>
      <c r="G75" s="9" t="s">
        <v>37</v>
      </c>
      <c r="H75" s="9" t="s">
        <v>72</v>
      </c>
      <c r="I75" s="9">
        <v>3</v>
      </c>
      <c r="J75" s="9">
        <v>800</v>
      </c>
      <c r="K75" s="15">
        <v>10</v>
      </c>
      <c r="L75" s="16">
        <v>2160</v>
      </c>
      <c r="M75" s="16">
        <v>1429.49</v>
      </c>
      <c r="N75" s="9">
        <v>730.51</v>
      </c>
      <c r="O75" s="9" t="s">
        <v>44</v>
      </c>
      <c r="P75" s="17">
        <v>45796</v>
      </c>
    </row>
    <row r="76" spans="1:16" ht="15.6" x14ac:dyDescent="0.3">
      <c r="A76" s="4" t="s">
        <v>129</v>
      </c>
      <c r="B76" s="5">
        <f t="shared" si="1"/>
        <v>45883</v>
      </c>
      <c r="C76" s="6" t="s">
        <v>15</v>
      </c>
      <c r="D76" s="6" t="s">
        <v>55</v>
      </c>
      <c r="E76" s="6" t="s">
        <v>35</v>
      </c>
      <c r="F76" s="6" t="s">
        <v>18</v>
      </c>
      <c r="G76" s="6" t="s">
        <v>26</v>
      </c>
      <c r="H76" s="6" t="s">
        <v>27</v>
      </c>
      <c r="I76" s="6">
        <v>2</v>
      </c>
      <c r="J76" s="6">
        <v>6000</v>
      </c>
      <c r="K76" s="12">
        <v>5</v>
      </c>
      <c r="L76" s="13">
        <v>11400</v>
      </c>
      <c r="M76" s="13">
        <v>8722.81</v>
      </c>
      <c r="N76" s="6">
        <v>2677.19</v>
      </c>
      <c r="O76" s="6" t="s">
        <v>44</v>
      </c>
      <c r="P76" s="14">
        <v>45883</v>
      </c>
    </row>
    <row r="77" spans="1:16" ht="15.6" x14ac:dyDescent="0.3">
      <c r="A77" s="7" t="s">
        <v>130</v>
      </c>
      <c r="B77" s="8">
        <f t="shared" si="1"/>
        <v>45731</v>
      </c>
      <c r="C77" s="9" t="s">
        <v>40</v>
      </c>
      <c r="D77" s="9" t="s">
        <v>92</v>
      </c>
      <c r="E77" s="9" t="s">
        <v>35</v>
      </c>
      <c r="F77" s="9" t="s">
        <v>42</v>
      </c>
      <c r="G77" s="9" t="s">
        <v>26</v>
      </c>
      <c r="H77" s="9" t="s">
        <v>27</v>
      </c>
      <c r="I77" s="9">
        <v>10</v>
      </c>
      <c r="J77" s="9">
        <v>6000</v>
      </c>
      <c r="K77" s="15">
        <v>10</v>
      </c>
      <c r="L77" s="16">
        <v>54000</v>
      </c>
      <c r="M77" s="16">
        <v>45835.76</v>
      </c>
      <c r="N77" s="9">
        <v>8164.24</v>
      </c>
      <c r="O77" s="9" t="s">
        <v>33</v>
      </c>
      <c r="P77" s="17">
        <v>45731</v>
      </c>
    </row>
    <row r="78" spans="1:16" ht="15.6" x14ac:dyDescent="0.3">
      <c r="A78" s="4" t="s">
        <v>131</v>
      </c>
      <c r="B78" s="5">
        <f t="shared" si="1"/>
        <v>45724</v>
      </c>
      <c r="C78" s="6" t="s">
        <v>30</v>
      </c>
      <c r="D78" s="6" t="s">
        <v>50</v>
      </c>
      <c r="E78" s="6" t="s">
        <v>25</v>
      </c>
      <c r="F78" s="6" t="s">
        <v>62</v>
      </c>
      <c r="G78" s="6" t="s">
        <v>37</v>
      </c>
      <c r="H78" s="6" t="s">
        <v>38</v>
      </c>
      <c r="I78" s="6">
        <v>1</v>
      </c>
      <c r="J78" s="6">
        <v>900</v>
      </c>
      <c r="K78" s="12">
        <v>10</v>
      </c>
      <c r="L78" s="13">
        <v>810</v>
      </c>
      <c r="M78" s="13">
        <v>540.62</v>
      </c>
      <c r="N78" s="6">
        <v>269.38</v>
      </c>
      <c r="O78" s="6" t="s">
        <v>21</v>
      </c>
      <c r="P78" s="14">
        <v>45724</v>
      </c>
    </row>
    <row r="79" spans="1:16" ht="15.6" x14ac:dyDescent="0.3">
      <c r="A79" s="7" t="s">
        <v>132</v>
      </c>
      <c r="B79" s="8">
        <f t="shared" si="1"/>
        <v>45689</v>
      </c>
      <c r="C79" s="9" t="s">
        <v>30</v>
      </c>
      <c r="D79" s="9" t="s">
        <v>31</v>
      </c>
      <c r="E79" s="9" t="s">
        <v>48</v>
      </c>
      <c r="F79" s="9" t="s">
        <v>42</v>
      </c>
      <c r="G79" s="9" t="s">
        <v>37</v>
      </c>
      <c r="H79" s="9" t="s">
        <v>56</v>
      </c>
      <c r="I79" s="9">
        <v>4</v>
      </c>
      <c r="J79" s="9">
        <v>2500</v>
      </c>
      <c r="K79" s="15">
        <v>0</v>
      </c>
      <c r="L79" s="16">
        <v>10000</v>
      </c>
      <c r="M79" s="16">
        <v>7638.51</v>
      </c>
      <c r="N79" s="9">
        <v>2361.4899999999998</v>
      </c>
      <c r="O79" s="9" t="s">
        <v>21</v>
      </c>
      <c r="P79" s="17">
        <v>45689</v>
      </c>
    </row>
    <row r="80" spans="1:16" ht="15.6" x14ac:dyDescent="0.3">
      <c r="A80" s="4" t="s">
        <v>133</v>
      </c>
      <c r="B80" s="5">
        <f t="shared" si="1"/>
        <v>45910</v>
      </c>
      <c r="C80" s="6" t="s">
        <v>15</v>
      </c>
      <c r="D80" s="6" t="s">
        <v>55</v>
      </c>
      <c r="E80" s="6" t="s">
        <v>17</v>
      </c>
      <c r="F80" s="6" t="s">
        <v>36</v>
      </c>
      <c r="G80" s="6" t="s">
        <v>37</v>
      </c>
      <c r="H80" s="6" t="s">
        <v>56</v>
      </c>
      <c r="I80" s="6">
        <v>8</v>
      </c>
      <c r="J80" s="6">
        <v>2500</v>
      </c>
      <c r="K80" s="12">
        <v>15</v>
      </c>
      <c r="L80" s="13">
        <v>17000</v>
      </c>
      <c r="M80" s="13">
        <v>13462.75</v>
      </c>
      <c r="N80" s="6">
        <v>3537.25</v>
      </c>
      <c r="O80" s="6" t="s">
        <v>28</v>
      </c>
      <c r="P80" s="14">
        <v>45910</v>
      </c>
    </row>
    <row r="81" spans="1:16" ht="15.6" x14ac:dyDescent="0.3">
      <c r="A81" s="7" t="s">
        <v>134</v>
      </c>
      <c r="B81" s="8">
        <f t="shared" si="1"/>
        <v>45944</v>
      </c>
      <c r="C81" s="9" t="s">
        <v>30</v>
      </c>
      <c r="D81" s="9" t="s">
        <v>50</v>
      </c>
      <c r="E81" s="9" t="s">
        <v>17</v>
      </c>
      <c r="F81" s="9" t="s">
        <v>18</v>
      </c>
      <c r="G81" s="9" t="s">
        <v>19</v>
      </c>
      <c r="H81" s="9" t="s">
        <v>52</v>
      </c>
      <c r="I81" s="9">
        <v>8</v>
      </c>
      <c r="J81" s="9">
        <v>1500</v>
      </c>
      <c r="K81" s="15">
        <v>10</v>
      </c>
      <c r="L81" s="16">
        <v>10800</v>
      </c>
      <c r="M81" s="16">
        <v>8889.4599999999991</v>
      </c>
      <c r="N81" s="9">
        <v>1910.54</v>
      </c>
      <c r="O81" s="9" t="s">
        <v>44</v>
      </c>
      <c r="P81" s="17">
        <v>45944</v>
      </c>
    </row>
    <row r="82" spans="1:16" ht="15.6" x14ac:dyDescent="0.3">
      <c r="A82" s="4" t="s">
        <v>135</v>
      </c>
      <c r="B82" s="5">
        <f t="shared" si="1"/>
        <v>45760</v>
      </c>
      <c r="C82" s="6" t="s">
        <v>30</v>
      </c>
      <c r="D82" s="6" t="s">
        <v>31</v>
      </c>
      <c r="E82" s="6" t="s">
        <v>17</v>
      </c>
      <c r="F82" s="6" t="s">
        <v>36</v>
      </c>
      <c r="G82" s="6" t="s">
        <v>37</v>
      </c>
      <c r="H82" s="6" t="s">
        <v>56</v>
      </c>
      <c r="I82" s="6">
        <v>3</v>
      </c>
      <c r="J82" s="6">
        <v>2500</v>
      </c>
      <c r="K82" s="12">
        <v>0</v>
      </c>
      <c r="L82" s="13">
        <v>7500</v>
      </c>
      <c r="M82" s="13">
        <v>6667.48</v>
      </c>
      <c r="N82" s="6">
        <v>832.52</v>
      </c>
      <c r="O82" s="6" t="s">
        <v>21</v>
      </c>
      <c r="P82" s="14">
        <v>45760</v>
      </c>
    </row>
    <row r="83" spans="1:16" ht="15.6" x14ac:dyDescent="0.3">
      <c r="A83" s="7" t="s">
        <v>136</v>
      </c>
      <c r="B83" s="8">
        <f t="shared" si="1"/>
        <v>45705</v>
      </c>
      <c r="C83" s="9" t="s">
        <v>23</v>
      </c>
      <c r="D83" s="9" t="s">
        <v>58</v>
      </c>
      <c r="E83" s="9" t="s">
        <v>32</v>
      </c>
      <c r="F83" s="9" t="s">
        <v>36</v>
      </c>
      <c r="G83" s="9" t="s">
        <v>19</v>
      </c>
      <c r="H83" s="9" t="s">
        <v>20</v>
      </c>
      <c r="I83" s="9">
        <v>8</v>
      </c>
      <c r="J83" s="9">
        <v>12000</v>
      </c>
      <c r="K83" s="15">
        <v>15</v>
      </c>
      <c r="L83" s="16">
        <v>81600</v>
      </c>
      <c r="M83" s="16">
        <v>59881.17</v>
      </c>
      <c r="N83" s="9">
        <v>21718.83</v>
      </c>
      <c r="O83" s="9" t="s">
        <v>21</v>
      </c>
      <c r="P83" s="17">
        <v>45705</v>
      </c>
    </row>
    <row r="84" spans="1:16" ht="15.6" x14ac:dyDescent="0.3">
      <c r="A84" s="4" t="s">
        <v>137</v>
      </c>
      <c r="B84" s="5">
        <f t="shared" si="1"/>
        <v>45758</v>
      </c>
      <c r="C84" s="6" t="s">
        <v>15</v>
      </c>
      <c r="D84" s="6" t="s">
        <v>55</v>
      </c>
      <c r="E84" s="6" t="s">
        <v>35</v>
      </c>
      <c r="F84" s="6" t="s">
        <v>62</v>
      </c>
      <c r="G84" s="6" t="s">
        <v>37</v>
      </c>
      <c r="H84" s="6" t="s">
        <v>72</v>
      </c>
      <c r="I84" s="6">
        <v>1</v>
      </c>
      <c r="J84" s="6">
        <v>800</v>
      </c>
      <c r="K84" s="12">
        <v>5</v>
      </c>
      <c r="L84" s="13">
        <v>760</v>
      </c>
      <c r="M84" s="13">
        <v>663.01</v>
      </c>
      <c r="N84" s="6">
        <v>96.99</v>
      </c>
      <c r="O84" s="6" t="s">
        <v>33</v>
      </c>
      <c r="P84" s="14">
        <v>45758</v>
      </c>
    </row>
    <row r="85" spans="1:16" ht="15.6" x14ac:dyDescent="0.3">
      <c r="A85" s="7" t="s">
        <v>138</v>
      </c>
      <c r="B85" s="8">
        <f t="shared" si="1"/>
        <v>46012</v>
      </c>
      <c r="C85" s="9" t="s">
        <v>30</v>
      </c>
      <c r="D85" s="9" t="s">
        <v>50</v>
      </c>
      <c r="E85" s="9" t="s">
        <v>48</v>
      </c>
      <c r="F85" s="9" t="s">
        <v>51</v>
      </c>
      <c r="G85" s="9" t="s">
        <v>26</v>
      </c>
      <c r="H85" s="9" t="s">
        <v>27</v>
      </c>
      <c r="I85" s="9">
        <v>9</v>
      </c>
      <c r="J85" s="9">
        <v>6000</v>
      </c>
      <c r="K85" s="15">
        <v>15</v>
      </c>
      <c r="L85" s="16">
        <v>45900</v>
      </c>
      <c r="M85" s="16">
        <v>40387.18</v>
      </c>
      <c r="N85" s="9">
        <v>5512.82</v>
      </c>
      <c r="O85" s="9" t="s">
        <v>33</v>
      </c>
      <c r="P85" s="17">
        <v>46012</v>
      </c>
    </row>
    <row r="86" spans="1:16" ht="15.6" x14ac:dyDescent="0.3">
      <c r="A86" s="4" t="s">
        <v>139</v>
      </c>
      <c r="B86" s="5">
        <f t="shared" si="1"/>
        <v>45796</v>
      </c>
      <c r="C86" s="6" t="s">
        <v>23</v>
      </c>
      <c r="D86" s="6" t="s">
        <v>24</v>
      </c>
      <c r="E86" s="6" t="s">
        <v>32</v>
      </c>
      <c r="F86" s="6" t="s">
        <v>36</v>
      </c>
      <c r="G86" s="6" t="s">
        <v>37</v>
      </c>
      <c r="H86" s="6" t="s">
        <v>38</v>
      </c>
      <c r="I86" s="6">
        <v>6</v>
      </c>
      <c r="J86" s="6">
        <v>900</v>
      </c>
      <c r="K86" s="12">
        <v>0</v>
      </c>
      <c r="L86" s="13">
        <v>5400</v>
      </c>
      <c r="M86" s="13">
        <v>4172.84</v>
      </c>
      <c r="N86" s="6">
        <v>1227.1600000000001</v>
      </c>
      <c r="O86" s="6" t="s">
        <v>28</v>
      </c>
      <c r="P86" s="14">
        <v>45796</v>
      </c>
    </row>
    <row r="87" spans="1:16" ht="15.6" x14ac:dyDescent="0.3">
      <c r="A87" s="7" t="s">
        <v>140</v>
      </c>
      <c r="B87" s="8">
        <f t="shared" si="1"/>
        <v>45862</v>
      </c>
      <c r="C87" s="9" t="s">
        <v>23</v>
      </c>
      <c r="D87" s="9" t="s">
        <v>90</v>
      </c>
      <c r="E87" s="9" t="s">
        <v>48</v>
      </c>
      <c r="F87" s="9" t="s">
        <v>62</v>
      </c>
      <c r="G87" s="9" t="s">
        <v>26</v>
      </c>
      <c r="H87" s="9" t="s">
        <v>27</v>
      </c>
      <c r="I87" s="9">
        <v>1</v>
      </c>
      <c r="J87" s="9">
        <v>6000</v>
      </c>
      <c r="K87" s="15">
        <v>0</v>
      </c>
      <c r="L87" s="16">
        <v>6000</v>
      </c>
      <c r="M87" s="16">
        <v>4256.58</v>
      </c>
      <c r="N87" s="9">
        <v>1743.42</v>
      </c>
      <c r="O87" s="9" t="s">
        <v>21</v>
      </c>
      <c r="P87" s="17">
        <v>45862</v>
      </c>
    </row>
    <row r="88" spans="1:16" ht="15.6" x14ac:dyDescent="0.3">
      <c r="A88" s="4" t="s">
        <v>141</v>
      </c>
      <c r="B88" s="5">
        <f t="shared" si="1"/>
        <v>45834</v>
      </c>
      <c r="C88" s="6" t="s">
        <v>15</v>
      </c>
      <c r="D88" s="6" t="s">
        <v>55</v>
      </c>
      <c r="E88" s="6" t="s">
        <v>17</v>
      </c>
      <c r="F88" s="6" t="s">
        <v>65</v>
      </c>
      <c r="G88" s="6" t="s">
        <v>19</v>
      </c>
      <c r="H88" s="6" t="s">
        <v>43</v>
      </c>
      <c r="I88" s="6">
        <v>1</v>
      </c>
      <c r="J88" s="6">
        <v>55000</v>
      </c>
      <c r="K88" s="12">
        <v>0</v>
      </c>
      <c r="L88" s="13">
        <v>55000</v>
      </c>
      <c r="M88" s="13">
        <v>42501.93</v>
      </c>
      <c r="N88" s="6">
        <v>12498.07</v>
      </c>
      <c r="O88" s="6" t="s">
        <v>21</v>
      </c>
      <c r="P88" s="14">
        <v>45834</v>
      </c>
    </row>
    <row r="89" spans="1:16" ht="15.6" x14ac:dyDescent="0.3">
      <c r="A89" s="7" t="s">
        <v>142</v>
      </c>
      <c r="B89" s="8">
        <f t="shared" si="1"/>
        <v>45717</v>
      </c>
      <c r="C89" s="9" t="s">
        <v>40</v>
      </c>
      <c r="D89" s="9" t="s">
        <v>41</v>
      </c>
      <c r="E89" s="9" t="s">
        <v>59</v>
      </c>
      <c r="F89" s="9" t="s">
        <v>62</v>
      </c>
      <c r="G89" s="9" t="s">
        <v>19</v>
      </c>
      <c r="H89" s="9" t="s">
        <v>43</v>
      </c>
      <c r="I89" s="9">
        <v>6</v>
      </c>
      <c r="J89" s="9">
        <v>55000</v>
      </c>
      <c r="K89" s="15">
        <v>10</v>
      </c>
      <c r="L89" s="16">
        <v>297000</v>
      </c>
      <c r="M89" s="16">
        <v>250056.82</v>
      </c>
      <c r="N89" s="9">
        <v>46943.18</v>
      </c>
      <c r="O89" s="9" t="s">
        <v>44</v>
      </c>
      <c r="P89" s="17">
        <v>45717</v>
      </c>
    </row>
    <row r="90" spans="1:16" ht="15.6" x14ac:dyDescent="0.3">
      <c r="A90" s="4" t="s">
        <v>143</v>
      </c>
      <c r="B90" s="5">
        <f t="shared" si="1"/>
        <v>45958</v>
      </c>
      <c r="C90" s="6" t="s">
        <v>40</v>
      </c>
      <c r="D90" s="6" t="s">
        <v>92</v>
      </c>
      <c r="E90" s="6" t="s">
        <v>32</v>
      </c>
      <c r="F90" s="6" t="s">
        <v>62</v>
      </c>
      <c r="G90" s="6" t="s">
        <v>26</v>
      </c>
      <c r="H90" s="6" t="s">
        <v>27</v>
      </c>
      <c r="I90" s="6">
        <v>2</v>
      </c>
      <c r="J90" s="6">
        <v>6000</v>
      </c>
      <c r="K90" s="12">
        <v>5</v>
      </c>
      <c r="L90" s="13">
        <v>11400</v>
      </c>
      <c r="M90" s="13">
        <v>9164.64</v>
      </c>
      <c r="N90" s="6">
        <v>2235.36</v>
      </c>
      <c r="O90" s="6" t="s">
        <v>28</v>
      </c>
      <c r="P90" s="14">
        <v>45958</v>
      </c>
    </row>
    <row r="91" spans="1:16" ht="15.6" x14ac:dyDescent="0.3">
      <c r="A91" s="7" t="s">
        <v>144</v>
      </c>
      <c r="B91" s="8">
        <f t="shared" si="1"/>
        <v>45957</v>
      </c>
      <c r="C91" s="9" t="s">
        <v>40</v>
      </c>
      <c r="D91" s="9" t="s">
        <v>61</v>
      </c>
      <c r="E91" s="9" t="s">
        <v>25</v>
      </c>
      <c r="F91" s="9" t="s">
        <v>65</v>
      </c>
      <c r="G91" s="9" t="s">
        <v>37</v>
      </c>
      <c r="H91" s="9" t="s">
        <v>38</v>
      </c>
      <c r="I91" s="9">
        <v>2</v>
      </c>
      <c r="J91" s="9">
        <v>900</v>
      </c>
      <c r="K91" s="15">
        <v>15</v>
      </c>
      <c r="L91" s="16">
        <v>1530</v>
      </c>
      <c r="M91" s="16">
        <v>1306.69</v>
      </c>
      <c r="N91" s="9">
        <v>223.31</v>
      </c>
      <c r="O91" s="9" t="s">
        <v>21</v>
      </c>
      <c r="P91" s="17">
        <v>45957</v>
      </c>
    </row>
    <row r="92" spans="1:16" ht="15.6" x14ac:dyDescent="0.3">
      <c r="A92" s="4" t="s">
        <v>145</v>
      </c>
      <c r="B92" s="5">
        <f t="shared" si="1"/>
        <v>45975</v>
      </c>
      <c r="C92" s="6" t="s">
        <v>30</v>
      </c>
      <c r="D92" s="6" t="s">
        <v>50</v>
      </c>
      <c r="E92" s="6" t="s">
        <v>17</v>
      </c>
      <c r="F92" s="6" t="s">
        <v>36</v>
      </c>
      <c r="G92" s="6" t="s">
        <v>19</v>
      </c>
      <c r="H92" s="6" t="s">
        <v>43</v>
      </c>
      <c r="I92" s="6">
        <v>6</v>
      </c>
      <c r="J92" s="6">
        <v>55000</v>
      </c>
      <c r="K92" s="12">
        <v>15</v>
      </c>
      <c r="L92" s="13">
        <v>280500</v>
      </c>
      <c r="M92" s="13">
        <v>197421.42</v>
      </c>
      <c r="N92" s="6">
        <v>83078.58</v>
      </c>
      <c r="O92" s="6" t="s">
        <v>21</v>
      </c>
      <c r="P92" s="14">
        <v>45975</v>
      </c>
    </row>
    <row r="93" spans="1:16" ht="15.6" x14ac:dyDescent="0.3">
      <c r="A93" s="7" t="s">
        <v>146</v>
      </c>
      <c r="B93" s="8">
        <f t="shared" si="1"/>
        <v>45838</v>
      </c>
      <c r="C93" s="9" t="s">
        <v>15</v>
      </c>
      <c r="D93" s="9" t="s">
        <v>16</v>
      </c>
      <c r="E93" s="9" t="s">
        <v>48</v>
      </c>
      <c r="F93" s="9" t="s">
        <v>62</v>
      </c>
      <c r="G93" s="9" t="s">
        <v>19</v>
      </c>
      <c r="H93" s="9" t="s">
        <v>43</v>
      </c>
      <c r="I93" s="9">
        <v>8</v>
      </c>
      <c r="J93" s="9">
        <v>55000</v>
      </c>
      <c r="K93" s="15">
        <v>10</v>
      </c>
      <c r="L93" s="16">
        <v>396000</v>
      </c>
      <c r="M93" s="16">
        <v>270806.62</v>
      </c>
      <c r="N93" s="9">
        <v>125193.38</v>
      </c>
      <c r="O93" s="9" t="s">
        <v>33</v>
      </c>
      <c r="P93" s="17">
        <v>45838</v>
      </c>
    </row>
    <row r="94" spans="1:16" ht="15.6" x14ac:dyDescent="0.3">
      <c r="A94" s="4" t="s">
        <v>147</v>
      </c>
      <c r="B94" s="5">
        <f t="shared" si="1"/>
        <v>46001</v>
      </c>
      <c r="C94" s="6" t="s">
        <v>40</v>
      </c>
      <c r="D94" s="6" t="s">
        <v>61</v>
      </c>
      <c r="E94" s="6" t="s">
        <v>25</v>
      </c>
      <c r="F94" s="6" t="s">
        <v>65</v>
      </c>
      <c r="G94" s="6" t="s">
        <v>37</v>
      </c>
      <c r="H94" s="6" t="s">
        <v>56</v>
      </c>
      <c r="I94" s="6">
        <v>3</v>
      </c>
      <c r="J94" s="6">
        <v>2500</v>
      </c>
      <c r="K94" s="12">
        <v>15</v>
      </c>
      <c r="L94" s="13">
        <v>6375</v>
      </c>
      <c r="M94" s="13">
        <v>5469.06</v>
      </c>
      <c r="N94" s="6">
        <v>905.94</v>
      </c>
      <c r="O94" s="6" t="s">
        <v>44</v>
      </c>
      <c r="P94" s="14">
        <v>46001</v>
      </c>
    </row>
    <row r="95" spans="1:16" ht="15.6" x14ac:dyDescent="0.3">
      <c r="A95" s="7" t="s">
        <v>148</v>
      </c>
      <c r="B95" s="8">
        <f t="shared" si="1"/>
        <v>45735</v>
      </c>
      <c r="C95" s="9" t="s">
        <v>30</v>
      </c>
      <c r="D95" s="9" t="s">
        <v>50</v>
      </c>
      <c r="E95" s="9" t="s">
        <v>17</v>
      </c>
      <c r="F95" s="9" t="s">
        <v>18</v>
      </c>
      <c r="G95" s="9" t="s">
        <v>26</v>
      </c>
      <c r="H95" s="9" t="s">
        <v>70</v>
      </c>
      <c r="I95" s="9">
        <v>3</v>
      </c>
      <c r="J95" s="9">
        <v>10000</v>
      </c>
      <c r="K95" s="15">
        <v>5</v>
      </c>
      <c r="L95" s="16">
        <v>28500</v>
      </c>
      <c r="M95" s="16">
        <v>25246.33</v>
      </c>
      <c r="N95" s="9">
        <v>3253.67</v>
      </c>
      <c r="O95" s="9" t="s">
        <v>21</v>
      </c>
      <c r="P95" s="17">
        <v>45735</v>
      </c>
    </row>
    <row r="96" spans="1:16" ht="15.6" x14ac:dyDescent="0.3">
      <c r="A96" s="4" t="s">
        <v>149</v>
      </c>
      <c r="B96" s="5">
        <f t="shared" si="1"/>
        <v>45713</v>
      </c>
      <c r="C96" s="6" t="s">
        <v>40</v>
      </c>
      <c r="D96" s="6" t="s">
        <v>61</v>
      </c>
      <c r="E96" s="6" t="s">
        <v>35</v>
      </c>
      <c r="F96" s="6" t="s">
        <v>62</v>
      </c>
      <c r="G96" s="6" t="s">
        <v>37</v>
      </c>
      <c r="H96" s="6" t="s">
        <v>38</v>
      </c>
      <c r="I96" s="6">
        <v>5</v>
      </c>
      <c r="J96" s="6">
        <v>900</v>
      </c>
      <c r="K96" s="12">
        <v>5</v>
      </c>
      <c r="L96" s="13">
        <v>4275</v>
      </c>
      <c r="M96" s="13">
        <v>3114.5</v>
      </c>
      <c r="N96" s="6">
        <v>1160.5</v>
      </c>
      <c r="O96" s="6" t="s">
        <v>44</v>
      </c>
      <c r="P96" s="14">
        <v>45713</v>
      </c>
    </row>
    <row r="97" spans="1:16" ht="15.6" x14ac:dyDescent="0.3">
      <c r="A97" s="7" t="s">
        <v>150</v>
      </c>
      <c r="B97" s="8">
        <f t="shared" si="1"/>
        <v>45688</v>
      </c>
      <c r="C97" s="9" t="s">
        <v>23</v>
      </c>
      <c r="D97" s="9" t="s">
        <v>90</v>
      </c>
      <c r="E97" s="9" t="s">
        <v>25</v>
      </c>
      <c r="F97" s="9" t="s">
        <v>62</v>
      </c>
      <c r="G97" s="9" t="s">
        <v>37</v>
      </c>
      <c r="H97" s="9" t="s">
        <v>56</v>
      </c>
      <c r="I97" s="9">
        <v>4</v>
      </c>
      <c r="J97" s="9">
        <v>2500</v>
      </c>
      <c r="K97" s="15">
        <v>0</v>
      </c>
      <c r="L97" s="16">
        <v>10000</v>
      </c>
      <c r="M97" s="16">
        <v>8592.41</v>
      </c>
      <c r="N97" s="9">
        <v>1407.59</v>
      </c>
      <c r="O97" s="9" t="s">
        <v>28</v>
      </c>
      <c r="P97" s="17">
        <v>45688</v>
      </c>
    </row>
    <row r="98" spans="1:16" ht="15.6" x14ac:dyDescent="0.3">
      <c r="A98" s="4" t="s">
        <v>151</v>
      </c>
      <c r="B98" s="5">
        <f t="shared" si="1"/>
        <v>45700</v>
      </c>
      <c r="C98" s="6" t="s">
        <v>40</v>
      </c>
      <c r="D98" s="6" t="s">
        <v>92</v>
      </c>
      <c r="E98" s="6" t="s">
        <v>25</v>
      </c>
      <c r="F98" s="6" t="s">
        <v>62</v>
      </c>
      <c r="G98" s="6" t="s">
        <v>19</v>
      </c>
      <c r="H98" s="6" t="s">
        <v>52</v>
      </c>
      <c r="I98" s="6">
        <v>3</v>
      </c>
      <c r="J98" s="6">
        <v>1500</v>
      </c>
      <c r="K98" s="12">
        <v>15</v>
      </c>
      <c r="L98" s="13">
        <v>3825</v>
      </c>
      <c r="M98" s="13">
        <v>2931.65</v>
      </c>
      <c r="N98" s="6">
        <v>893.35</v>
      </c>
      <c r="O98" s="6" t="s">
        <v>44</v>
      </c>
      <c r="P98" s="14">
        <v>45700</v>
      </c>
    </row>
    <row r="99" spans="1:16" ht="15.6" x14ac:dyDescent="0.3">
      <c r="A99" s="7" t="s">
        <v>152</v>
      </c>
      <c r="B99" s="8">
        <f t="shared" si="1"/>
        <v>45840</v>
      </c>
      <c r="C99" s="9" t="s">
        <v>30</v>
      </c>
      <c r="D99" s="9" t="s">
        <v>31</v>
      </c>
      <c r="E99" s="9" t="s">
        <v>48</v>
      </c>
      <c r="F99" s="9" t="s">
        <v>36</v>
      </c>
      <c r="G99" s="9" t="s">
        <v>26</v>
      </c>
      <c r="H99" s="9" t="s">
        <v>70</v>
      </c>
      <c r="I99" s="9">
        <v>9</v>
      </c>
      <c r="J99" s="9">
        <v>10000</v>
      </c>
      <c r="K99" s="15">
        <v>15</v>
      </c>
      <c r="L99" s="16">
        <v>76500</v>
      </c>
      <c r="M99" s="16">
        <v>51668.23</v>
      </c>
      <c r="N99" s="9">
        <v>24831.77</v>
      </c>
      <c r="O99" s="9" t="s">
        <v>33</v>
      </c>
      <c r="P99" s="17">
        <v>45840</v>
      </c>
    </row>
    <row r="100" spans="1:16" ht="15.6" x14ac:dyDescent="0.3">
      <c r="A100" s="4" t="s">
        <v>153</v>
      </c>
      <c r="B100" s="5">
        <f t="shared" si="1"/>
        <v>45841</v>
      </c>
      <c r="C100" s="6" t="s">
        <v>23</v>
      </c>
      <c r="D100" s="6" t="s">
        <v>24</v>
      </c>
      <c r="E100" s="6" t="s">
        <v>35</v>
      </c>
      <c r="F100" s="6" t="s">
        <v>62</v>
      </c>
      <c r="G100" s="6" t="s">
        <v>26</v>
      </c>
      <c r="H100" s="6" t="s">
        <v>70</v>
      </c>
      <c r="I100" s="6">
        <v>8</v>
      </c>
      <c r="J100" s="6">
        <v>10000</v>
      </c>
      <c r="K100" s="12">
        <v>15</v>
      </c>
      <c r="L100" s="13">
        <v>68000</v>
      </c>
      <c r="M100" s="13">
        <v>47136.94</v>
      </c>
      <c r="N100" s="6">
        <v>20863.060000000001</v>
      </c>
      <c r="O100" s="6" t="s">
        <v>28</v>
      </c>
      <c r="P100" s="14">
        <v>45841</v>
      </c>
    </row>
    <row r="101" spans="1:16" ht="15.6" x14ac:dyDescent="0.3">
      <c r="A101" s="7" t="s">
        <v>154</v>
      </c>
      <c r="B101" s="8">
        <f t="shared" si="1"/>
        <v>45740</v>
      </c>
      <c r="C101" s="9" t="s">
        <v>40</v>
      </c>
      <c r="D101" s="9" t="s">
        <v>41</v>
      </c>
      <c r="E101" s="9" t="s">
        <v>35</v>
      </c>
      <c r="F101" s="9" t="s">
        <v>42</v>
      </c>
      <c r="G101" s="9" t="s">
        <v>37</v>
      </c>
      <c r="H101" s="9" t="s">
        <v>38</v>
      </c>
      <c r="I101" s="9">
        <v>3</v>
      </c>
      <c r="J101" s="9">
        <v>900</v>
      </c>
      <c r="K101" s="15">
        <v>5</v>
      </c>
      <c r="L101" s="16">
        <v>2565</v>
      </c>
      <c r="M101" s="16">
        <v>1856.39</v>
      </c>
      <c r="N101" s="9">
        <v>708.61</v>
      </c>
      <c r="O101" s="9" t="s">
        <v>28</v>
      </c>
      <c r="P101" s="17">
        <v>45740</v>
      </c>
    </row>
    <row r="102" spans="1:16" ht="15.6" x14ac:dyDescent="0.3">
      <c r="A102" s="4" t="s">
        <v>155</v>
      </c>
      <c r="B102" s="5">
        <f t="shared" si="1"/>
        <v>45871</v>
      </c>
      <c r="C102" s="6" t="s">
        <v>23</v>
      </c>
      <c r="D102" s="6" t="s">
        <v>90</v>
      </c>
      <c r="E102" s="6" t="s">
        <v>35</v>
      </c>
      <c r="F102" s="6" t="s">
        <v>51</v>
      </c>
      <c r="G102" s="6" t="s">
        <v>19</v>
      </c>
      <c r="H102" s="6" t="s">
        <v>52</v>
      </c>
      <c r="I102" s="6">
        <v>5</v>
      </c>
      <c r="J102" s="6">
        <v>1500</v>
      </c>
      <c r="K102" s="12">
        <v>0</v>
      </c>
      <c r="L102" s="13">
        <v>7500</v>
      </c>
      <c r="M102" s="13">
        <v>5742.66</v>
      </c>
      <c r="N102" s="6">
        <v>1757.34</v>
      </c>
      <c r="O102" s="6" t="s">
        <v>21</v>
      </c>
      <c r="P102" s="14">
        <v>45871</v>
      </c>
    </row>
    <row r="103" spans="1:16" ht="15.6" x14ac:dyDescent="0.3">
      <c r="A103" s="7" t="s">
        <v>156</v>
      </c>
      <c r="B103" s="8">
        <f t="shared" si="1"/>
        <v>45756</v>
      </c>
      <c r="C103" s="9" t="s">
        <v>30</v>
      </c>
      <c r="D103" s="9" t="s">
        <v>31</v>
      </c>
      <c r="E103" s="9" t="s">
        <v>17</v>
      </c>
      <c r="F103" s="9" t="s">
        <v>65</v>
      </c>
      <c r="G103" s="9" t="s">
        <v>26</v>
      </c>
      <c r="H103" s="9" t="s">
        <v>27</v>
      </c>
      <c r="I103" s="9">
        <v>10</v>
      </c>
      <c r="J103" s="9">
        <v>6000</v>
      </c>
      <c r="K103" s="15">
        <v>0</v>
      </c>
      <c r="L103" s="16">
        <v>60000</v>
      </c>
      <c r="M103" s="16">
        <v>43483.38</v>
      </c>
      <c r="N103" s="9">
        <v>16516.62</v>
      </c>
      <c r="O103" s="9" t="s">
        <v>44</v>
      </c>
      <c r="P103" s="17">
        <v>45756</v>
      </c>
    </row>
    <row r="104" spans="1:16" ht="15.6" x14ac:dyDescent="0.3">
      <c r="A104" s="4" t="s">
        <v>157</v>
      </c>
      <c r="B104" s="5">
        <f t="shared" si="1"/>
        <v>45791</v>
      </c>
      <c r="C104" s="6" t="s">
        <v>15</v>
      </c>
      <c r="D104" s="6" t="s">
        <v>55</v>
      </c>
      <c r="E104" s="6" t="s">
        <v>59</v>
      </c>
      <c r="F104" s="6" t="s">
        <v>51</v>
      </c>
      <c r="G104" s="6" t="s">
        <v>19</v>
      </c>
      <c r="H104" s="6" t="s">
        <v>52</v>
      </c>
      <c r="I104" s="6">
        <v>6</v>
      </c>
      <c r="J104" s="6">
        <v>1500</v>
      </c>
      <c r="K104" s="12">
        <v>5</v>
      </c>
      <c r="L104" s="13">
        <v>8550</v>
      </c>
      <c r="M104" s="13">
        <v>7307.57</v>
      </c>
      <c r="N104" s="6">
        <v>1242.43</v>
      </c>
      <c r="O104" s="6" t="s">
        <v>21</v>
      </c>
      <c r="P104" s="14">
        <v>45791</v>
      </c>
    </row>
    <row r="105" spans="1:16" ht="15.6" x14ac:dyDescent="0.3">
      <c r="A105" s="7" t="s">
        <v>158</v>
      </c>
      <c r="B105" s="8">
        <f t="shared" si="1"/>
        <v>45996</v>
      </c>
      <c r="C105" s="9" t="s">
        <v>23</v>
      </c>
      <c r="D105" s="9" t="s">
        <v>58</v>
      </c>
      <c r="E105" s="9" t="s">
        <v>48</v>
      </c>
      <c r="F105" s="9" t="s">
        <v>65</v>
      </c>
      <c r="G105" s="9" t="s">
        <v>37</v>
      </c>
      <c r="H105" s="9" t="s">
        <v>56</v>
      </c>
      <c r="I105" s="9">
        <v>2</v>
      </c>
      <c r="J105" s="9">
        <v>2500</v>
      </c>
      <c r="K105" s="15">
        <v>0</v>
      </c>
      <c r="L105" s="16">
        <v>5000</v>
      </c>
      <c r="M105" s="16">
        <v>3494.94</v>
      </c>
      <c r="N105" s="9">
        <v>1505.06</v>
      </c>
      <c r="O105" s="9" t="s">
        <v>33</v>
      </c>
      <c r="P105" s="17">
        <v>45996</v>
      </c>
    </row>
    <row r="106" spans="1:16" ht="15.6" x14ac:dyDescent="0.3">
      <c r="A106" s="4" t="s">
        <v>159</v>
      </c>
      <c r="B106" s="5">
        <f t="shared" si="1"/>
        <v>46015</v>
      </c>
      <c r="C106" s="6" t="s">
        <v>30</v>
      </c>
      <c r="D106" s="6" t="s">
        <v>31</v>
      </c>
      <c r="E106" s="6" t="s">
        <v>59</v>
      </c>
      <c r="F106" s="6" t="s">
        <v>51</v>
      </c>
      <c r="G106" s="6" t="s">
        <v>37</v>
      </c>
      <c r="H106" s="6" t="s">
        <v>72</v>
      </c>
      <c r="I106" s="6">
        <v>3</v>
      </c>
      <c r="J106" s="6">
        <v>800</v>
      </c>
      <c r="K106" s="12">
        <v>15</v>
      </c>
      <c r="L106" s="13">
        <v>2040</v>
      </c>
      <c r="M106" s="13">
        <v>1632.21</v>
      </c>
      <c r="N106" s="6">
        <v>407.79</v>
      </c>
      <c r="O106" s="6" t="s">
        <v>44</v>
      </c>
      <c r="P106" s="14">
        <v>46015</v>
      </c>
    </row>
    <row r="107" spans="1:16" ht="15.6" x14ac:dyDescent="0.3">
      <c r="A107" s="7" t="s">
        <v>161</v>
      </c>
      <c r="B107" s="8">
        <f t="shared" si="1"/>
        <v>45893</v>
      </c>
      <c r="C107" s="9" t="s">
        <v>23</v>
      </c>
      <c r="D107" s="9" t="s">
        <v>58</v>
      </c>
      <c r="E107" s="9" t="s">
        <v>48</v>
      </c>
      <c r="F107" s="9" t="s">
        <v>51</v>
      </c>
      <c r="G107" s="9" t="s">
        <v>19</v>
      </c>
      <c r="H107" s="9" t="s">
        <v>43</v>
      </c>
      <c r="I107" s="9">
        <v>1</v>
      </c>
      <c r="J107" s="9">
        <v>55000</v>
      </c>
      <c r="K107" s="15">
        <v>10</v>
      </c>
      <c r="L107" s="16">
        <v>49500</v>
      </c>
      <c r="M107" s="16">
        <v>42209.66</v>
      </c>
      <c r="N107" s="9">
        <v>7290.34</v>
      </c>
      <c r="O107" s="9" t="s">
        <v>44</v>
      </c>
      <c r="P107" s="17">
        <v>45893</v>
      </c>
    </row>
    <row r="108" spans="1:16" ht="15.6" x14ac:dyDescent="0.3">
      <c r="A108" s="4" t="s">
        <v>162</v>
      </c>
      <c r="B108" s="5">
        <f t="shared" si="1"/>
        <v>45989</v>
      </c>
      <c r="C108" s="6" t="s">
        <v>30</v>
      </c>
      <c r="D108" s="6" t="s">
        <v>31</v>
      </c>
      <c r="E108" s="6" t="s">
        <v>32</v>
      </c>
      <c r="F108" s="6" t="s">
        <v>18</v>
      </c>
      <c r="G108" s="6" t="s">
        <v>37</v>
      </c>
      <c r="H108" s="6" t="s">
        <v>72</v>
      </c>
      <c r="I108" s="6">
        <v>1</v>
      </c>
      <c r="J108" s="6">
        <v>800</v>
      </c>
      <c r="K108" s="12">
        <v>5</v>
      </c>
      <c r="L108" s="13">
        <v>760</v>
      </c>
      <c r="M108" s="13">
        <v>560.22</v>
      </c>
      <c r="N108" s="6">
        <v>199.78</v>
      </c>
      <c r="O108" s="6" t="s">
        <v>33</v>
      </c>
      <c r="P108" s="14">
        <v>45989</v>
      </c>
    </row>
    <row r="109" spans="1:16" ht="15.6" x14ac:dyDescent="0.3">
      <c r="A109" s="7" t="s">
        <v>163</v>
      </c>
      <c r="B109" s="8">
        <f t="shared" si="1"/>
        <v>45670</v>
      </c>
      <c r="C109" s="9" t="s">
        <v>15</v>
      </c>
      <c r="D109" s="9" t="s">
        <v>55</v>
      </c>
      <c r="E109" s="9" t="s">
        <v>59</v>
      </c>
      <c r="F109" s="9" t="s">
        <v>42</v>
      </c>
      <c r="G109" s="9" t="s">
        <v>37</v>
      </c>
      <c r="H109" s="9" t="s">
        <v>38</v>
      </c>
      <c r="I109" s="9">
        <v>5</v>
      </c>
      <c r="J109" s="9">
        <v>900</v>
      </c>
      <c r="K109" s="15">
        <v>15</v>
      </c>
      <c r="L109" s="16">
        <v>3825</v>
      </c>
      <c r="M109" s="16">
        <v>3401.49</v>
      </c>
      <c r="N109" s="9">
        <v>423.51</v>
      </c>
      <c r="O109" s="9" t="s">
        <v>44</v>
      </c>
      <c r="P109" s="17">
        <v>45670</v>
      </c>
    </row>
    <row r="110" spans="1:16" ht="15.6" x14ac:dyDescent="0.3">
      <c r="A110" s="4" t="s">
        <v>164</v>
      </c>
      <c r="B110" s="5">
        <f t="shared" si="1"/>
        <v>45827</v>
      </c>
      <c r="C110" s="6" t="s">
        <v>30</v>
      </c>
      <c r="D110" s="6" t="s">
        <v>31</v>
      </c>
      <c r="E110" s="6" t="s">
        <v>17</v>
      </c>
      <c r="F110" s="6" t="s">
        <v>18</v>
      </c>
      <c r="G110" s="6" t="s">
        <v>19</v>
      </c>
      <c r="H110" s="6" t="s">
        <v>52</v>
      </c>
      <c r="I110" s="6">
        <v>2</v>
      </c>
      <c r="J110" s="6">
        <v>1500</v>
      </c>
      <c r="K110" s="12">
        <v>0</v>
      </c>
      <c r="L110" s="13">
        <v>3000</v>
      </c>
      <c r="M110" s="13">
        <v>2313.66</v>
      </c>
      <c r="N110" s="6">
        <v>686.34</v>
      </c>
      <c r="O110" s="6" t="s">
        <v>28</v>
      </c>
      <c r="P110" s="14">
        <v>45827</v>
      </c>
    </row>
    <row r="111" spans="1:16" ht="15.6" x14ac:dyDescent="0.3">
      <c r="A111" s="7" t="s">
        <v>165</v>
      </c>
      <c r="B111" s="8">
        <f t="shared" si="1"/>
        <v>45950</v>
      </c>
      <c r="C111" s="9" t="s">
        <v>30</v>
      </c>
      <c r="D111" s="9" t="s">
        <v>50</v>
      </c>
      <c r="E111" s="9" t="s">
        <v>59</v>
      </c>
      <c r="F111" s="9" t="s">
        <v>42</v>
      </c>
      <c r="G111" s="9" t="s">
        <v>19</v>
      </c>
      <c r="H111" s="9" t="s">
        <v>43</v>
      </c>
      <c r="I111" s="9">
        <v>2</v>
      </c>
      <c r="J111" s="9">
        <v>55000</v>
      </c>
      <c r="K111" s="15">
        <v>10</v>
      </c>
      <c r="L111" s="16">
        <v>99000</v>
      </c>
      <c r="M111" s="16">
        <v>71553.56</v>
      </c>
      <c r="N111" s="9">
        <v>27446.44</v>
      </c>
      <c r="O111" s="9" t="s">
        <v>28</v>
      </c>
      <c r="P111" s="17">
        <v>45950</v>
      </c>
    </row>
    <row r="112" spans="1:16" ht="15.6" x14ac:dyDescent="0.3">
      <c r="A112" s="4" t="s">
        <v>166</v>
      </c>
      <c r="B112" s="5">
        <f t="shared" si="1"/>
        <v>45840</v>
      </c>
      <c r="C112" s="6" t="s">
        <v>15</v>
      </c>
      <c r="D112" s="6" t="s">
        <v>16</v>
      </c>
      <c r="E112" s="6" t="s">
        <v>25</v>
      </c>
      <c r="F112" s="6" t="s">
        <v>51</v>
      </c>
      <c r="G112" s="6" t="s">
        <v>26</v>
      </c>
      <c r="H112" s="6" t="s">
        <v>70</v>
      </c>
      <c r="I112" s="6">
        <v>3</v>
      </c>
      <c r="J112" s="6">
        <v>10000</v>
      </c>
      <c r="K112" s="12">
        <v>15</v>
      </c>
      <c r="L112" s="13">
        <v>25500</v>
      </c>
      <c r="M112" s="13">
        <v>17308.32</v>
      </c>
      <c r="N112" s="6">
        <v>8191.68</v>
      </c>
      <c r="O112" s="6" t="s">
        <v>33</v>
      </c>
      <c r="P112" s="14">
        <v>45840</v>
      </c>
    </row>
    <row r="113" spans="1:16" ht="15.6" x14ac:dyDescent="0.3">
      <c r="A113" s="7" t="s">
        <v>167</v>
      </c>
      <c r="B113" s="8">
        <f t="shared" si="1"/>
        <v>45792</v>
      </c>
      <c r="C113" s="9" t="s">
        <v>40</v>
      </c>
      <c r="D113" s="9" t="s">
        <v>61</v>
      </c>
      <c r="E113" s="9" t="s">
        <v>35</v>
      </c>
      <c r="F113" s="9" t="s">
        <v>42</v>
      </c>
      <c r="G113" s="9" t="s">
        <v>37</v>
      </c>
      <c r="H113" s="9" t="s">
        <v>56</v>
      </c>
      <c r="I113" s="9">
        <v>3</v>
      </c>
      <c r="J113" s="9">
        <v>2500</v>
      </c>
      <c r="K113" s="15">
        <v>15</v>
      </c>
      <c r="L113" s="16">
        <v>6375</v>
      </c>
      <c r="M113" s="16">
        <v>5670.7</v>
      </c>
      <c r="N113" s="9">
        <v>704.3</v>
      </c>
      <c r="O113" s="9" t="s">
        <v>28</v>
      </c>
      <c r="P113" s="17">
        <v>45792</v>
      </c>
    </row>
    <row r="114" spans="1:16" ht="15.6" x14ac:dyDescent="0.3">
      <c r="A114" s="4" t="s">
        <v>168</v>
      </c>
      <c r="B114" s="5">
        <f t="shared" si="1"/>
        <v>45693</v>
      </c>
      <c r="C114" s="6" t="s">
        <v>15</v>
      </c>
      <c r="D114" s="6" t="s">
        <v>55</v>
      </c>
      <c r="E114" s="6" t="s">
        <v>48</v>
      </c>
      <c r="F114" s="6" t="s">
        <v>42</v>
      </c>
      <c r="G114" s="6" t="s">
        <v>26</v>
      </c>
      <c r="H114" s="6" t="s">
        <v>70</v>
      </c>
      <c r="I114" s="6">
        <v>9</v>
      </c>
      <c r="J114" s="6">
        <v>10000</v>
      </c>
      <c r="K114" s="12">
        <v>0</v>
      </c>
      <c r="L114" s="13">
        <v>90000</v>
      </c>
      <c r="M114" s="13">
        <v>64678.18</v>
      </c>
      <c r="N114" s="6">
        <v>25321.82</v>
      </c>
      <c r="O114" s="6" t="s">
        <v>28</v>
      </c>
      <c r="P114" s="14">
        <v>45693</v>
      </c>
    </row>
    <row r="115" spans="1:16" ht="15.6" x14ac:dyDescent="0.3">
      <c r="A115" s="7" t="s">
        <v>169</v>
      </c>
      <c r="B115" s="8">
        <f t="shared" si="1"/>
        <v>45795</v>
      </c>
      <c r="C115" s="9" t="s">
        <v>40</v>
      </c>
      <c r="D115" s="9" t="s">
        <v>92</v>
      </c>
      <c r="E115" s="9" t="s">
        <v>25</v>
      </c>
      <c r="F115" s="9" t="s">
        <v>65</v>
      </c>
      <c r="G115" s="9" t="s">
        <v>37</v>
      </c>
      <c r="H115" s="9" t="s">
        <v>38</v>
      </c>
      <c r="I115" s="9">
        <v>4</v>
      </c>
      <c r="J115" s="9">
        <v>900</v>
      </c>
      <c r="K115" s="15">
        <v>0</v>
      </c>
      <c r="L115" s="16">
        <v>3600</v>
      </c>
      <c r="M115" s="16">
        <v>2770.78</v>
      </c>
      <c r="N115" s="9">
        <v>829.22</v>
      </c>
      <c r="O115" s="9" t="s">
        <v>21</v>
      </c>
      <c r="P115" s="17">
        <v>45795</v>
      </c>
    </row>
    <row r="116" spans="1:16" ht="15.6" x14ac:dyDescent="0.3">
      <c r="A116" s="4" t="s">
        <v>170</v>
      </c>
      <c r="B116" s="5">
        <f t="shared" si="1"/>
        <v>45885</v>
      </c>
      <c r="C116" s="6" t="s">
        <v>15</v>
      </c>
      <c r="D116" s="6" t="s">
        <v>16</v>
      </c>
      <c r="E116" s="6" t="s">
        <v>17</v>
      </c>
      <c r="F116" s="6" t="s">
        <v>62</v>
      </c>
      <c r="G116" s="6" t="s">
        <v>37</v>
      </c>
      <c r="H116" s="6" t="s">
        <v>38</v>
      </c>
      <c r="I116" s="6">
        <v>1</v>
      </c>
      <c r="J116" s="6">
        <v>900</v>
      </c>
      <c r="K116" s="12">
        <v>5</v>
      </c>
      <c r="L116" s="13">
        <v>855</v>
      </c>
      <c r="M116" s="13">
        <v>608.04</v>
      </c>
      <c r="N116" s="6">
        <v>246.96</v>
      </c>
      <c r="O116" s="6" t="s">
        <v>28</v>
      </c>
      <c r="P116" s="14">
        <v>45885</v>
      </c>
    </row>
    <row r="117" spans="1:16" ht="15.6" x14ac:dyDescent="0.3">
      <c r="A117" s="7" t="s">
        <v>171</v>
      </c>
      <c r="B117" s="8">
        <f t="shared" si="1"/>
        <v>45799</v>
      </c>
      <c r="C117" s="9" t="s">
        <v>40</v>
      </c>
      <c r="D117" s="9" t="s">
        <v>41</v>
      </c>
      <c r="E117" s="9" t="s">
        <v>17</v>
      </c>
      <c r="F117" s="9" t="s">
        <v>65</v>
      </c>
      <c r="G117" s="9" t="s">
        <v>37</v>
      </c>
      <c r="H117" s="9" t="s">
        <v>38</v>
      </c>
      <c r="I117" s="9">
        <v>6</v>
      </c>
      <c r="J117" s="9">
        <v>900</v>
      </c>
      <c r="K117" s="15">
        <v>5</v>
      </c>
      <c r="L117" s="16">
        <v>5130</v>
      </c>
      <c r="M117" s="16">
        <v>3478.66</v>
      </c>
      <c r="N117" s="9">
        <v>1651.34</v>
      </c>
      <c r="O117" s="9" t="s">
        <v>21</v>
      </c>
      <c r="P117" s="17">
        <v>45799</v>
      </c>
    </row>
    <row r="118" spans="1:16" ht="15.6" x14ac:dyDescent="0.3">
      <c r="A118" s="4" t="s">
        <v>172</v>
      </c>
      <c r="B118" s="5">
        <f t="shared" si="1"/>
        <v>45787</v>
      </c>
      <c r="C118" s="6" t="s">
        <v>15</v>
      </c>
      <c r="D118" s="6" t="s">
        <v>55</v>
      </c>
      <c r="E118" s="6" t="s">
        <v>32</v>
      </c>
      <c r="F118" s="6" t="s">
        <v>65</v>
      </c>
      <c r="G118" s="6" t="s">
        <v>37</v>
      </c>
      <c r="H118" s="6" t="s">
        <v>72</v>
      </c>
      <c r="I118" s="6">
        <v>2</v>
      </c>
      <c r="J118" s="6">
        <v>800</v>
      </c>
      <c r="K118" s="12">
        <v>15</v>
      </c>
      <c r="L118" s="13">
        <v>1360</v>
      </c>
      <c r="M118" s="13">
        <v>1198.44</v>
      </c>
      <c r="N118" s="6">
        <v>161.56</v>
      </c>
      <c r="O118" s="6" t="s">
        <v>28</v>
      </c>
      <c r="P118" s="14">
        <v>45787</v>
      </c>
    </row>
    <row r="119" spans="1:16" ht="15.6" x14ac:dyDescent="0.3">
      <c r="A119" s="7" t="s">
        <v>173</v>
      </c>
      <c r="B119" s="8">
        <f t="shared" si="1"/>
        <v>45929</v>
      </c>
      <c r="C119" s="9" t="s">
        <v>23</v>
      </c>
      <c r="D119" s="9" t="s">
        <v>24</v>
      </c>
      <c r="E119" s="9" t="s">
        <v>35</v>
      </c>
      <c r="F119" s="9" t="s">
        <v>65</v>
      </c>
      <c r="G119" s="9" t="s">
        <v>37</v>
      </c>
      <c r="H119" s="9" t="s">
        <v>72</v>
      </c>
      <c r="I119" s="9">
        <v>7</v>
      </c>
      <c r="J119" s="9">
        <v>800</v>
      </c>
      <c r="K119" s="15">
        <v>15</v>
      </c>
      <c r="L119" s="16">
        <v>4760</v>
      </c>
      <c r="M119" s="16">
        <v>3154.31</v>
      </c>
      <c r="N119" s="9">
        <v>1605.69</v>
      </c>
      <c r="O119" s="9" t="s">
        <v>21</v>
      </c>
      <c r="P119" s="17">
        <v>45929</v>
      </c>
    </row>
    <row r="120" spans="1:16" ht="15.6" x14ac:dyDescent="0.3">
      <c r="A120" s="4" t="s">
        <v>174</v>
      </c>
      <c r="B120" s="5">
        <f t="shared" si="1"/>
        <v>45860</v>
      </c>
      <c r="C120" s="6" t="s">
        <v>30</v>
      </c>
      <c r="D120" s="6" t="s">
        <v>50</v>
      </c>
      <c r="E120" s="6" t="s">
        <v>32</v>
      </c>
      <c r="F120" s="6" t="s">
        <v>18</v>
      </c>
      <c r="G120" s="6" t="s">
        <v>37</v>
      </c>
      <c r="H120" s="6" t="s">
        <v>38</v>
      </c>
      <c r="I120" s="6">
        <v>1</v>
      </c>
      <c r="J120" s="6">
        <v>900</v>
      </c>
      <c r="K120" s="12">
        <v>0</v>
      </c>
      <c r="L120" s="13">
        <v>900</v>
      </c>
      <c r="M120" s="13">
        <v>692.36</v>
      </c>
      <c r="N120" s="6">
        <v>207.64</v>
      </c>
      <c r="O120" s="6" t="s">
        <v>28</v>
      </c>
      <c r="P120" s="14">
        <v>45860</v>
      </c>
    </row>
    <row r="121" spans="1:16" ht="15.6" x14ac:dyDescent="0.3">
      <c r="A121" s="7" t="s">
        <v>175</v>
      </c>
      <c r="B121" s="8">
        <f t="shared" si="1"/>
        <v>45974</v>
      </c>
      <c r="C121" s="9" t="s">
        <v>30</v>
      </c>
      <c r="D121" s="9" t="s">
        <v>50</v>
      </c>
      <c r="E121" s="9" t="s">
        <v>25</v>
      </c>
      <c r="F121" s="9" t="s">
        <v>36</v>
      </c>
      <c r="G121" s="9" t="s">
        <v>19</v>
      </c>
      <c r="H121" s="9" t="s">
        <v>43</v>
      </c>
      <c r="I121" s="9">
        <v>8</v>
      </c>
      <c r="J121" s="9">
        <v>55000</v>
      </c>
      <c r="K121" s="15">
        <v>5</v>
      </c>
      <c r="L121" s="16">
        <v>418000</v>
      </c>
      <c r="M121" s="16">
        <v>328987.94</v>
      </c>
      <c r="N121" s="9">
        <v>89012.06</v>
      </c>
      <c r="O121" s="9" t="s">
        <v>44</v>
      </c>
      <c r="P121" s="17">
        <v>45974</v>
      </c>
    </row>
    <row r="122" spans="1:16" ht="15.6" x14ac:dyDescent="0.3">
      <c r="A122" s="4" t="s">
        <v>176</v>
      </c>
      <c r="B122" s="5">
        <f t="shared" si="1"/>
        <v>45924</v>
      </c>
      <c r="C122" s="6" t="s">
        <v>23</v>
      </c>
      <c r="D122" s="6" t="s">
        <v>90</v>
      </c>
      <c r="E122" s="6" t="s">
        <v>48</v>
      </c>
      <c r="F122" s="6" t="s">
        <v>18</v>
      </c>
      <c r="G122" s="6" t="s">
        <v>26</v>
      </c>
      <c r="H122" s="6" t="s">
        <v>27</v>
      </c>
      <c r="I122" s="6">
        <v>1</v>
      </c>
      <c r="J122" s="6">
        <v>6000</v>
      </c>
      <c r="K122" s="12">
        <v>15</v>
      </c>
      <c r="L122" s="13">
        <v>5100</v>
      </c>
      <c r="M122" s="13">
        <v>3419.84</v>
      </c>
      <c r="N122" s="6">
        <v>1680.16</v>
      </c>
      <c r="O122" s="6" t="s">
        <v>44</v>
      </c>
      <c r="P122" s="14">
        <v>45924</v>
      </c>
    </row>
    <row r="123" spans="1:16" ht="15.6" x14ac:dyDescent="0.3">
      <c r="A123" s="7" t="s">
        <v>177</v>
      </c>
      <c r="B123" s="8">
        <f t="shared" si="1"/>
        <v>46017</v>
      </c>
      <c r="C123" s="9" t="s">
        <v>30</v>
      </c>
      <c r="D123" s="9" t="s">
        <v>31</v>
      </c>
      <c r="E123" s="9" t="s">
        <v>25</v>
      </c>
      <c r="F123" s="9" t="s">
        <v>36</v>
      </c>
      <c r="G123" s="9" t="s">
        <v>19</v>
      </c>
      <c r="H123" s="9" t="s">
        <v>52</v>
      </c>
      <c r="I123" s="9">
        <v>6</v>
      </c>
      <c r="J123" s="9">
        <v>1500</v>
      </c>
      <c r="K123" s="15">
        <v>10</v>
      </c>
      <c r="L123" s="16">
        <v>8100</v>
      </c>
      <c r="M123" s="16">
        <v>7268.25</v>
      </c>
      <c r="N123" s="9">
        <v>831.75</v>
      </c>
      <c r="O123" s="9" t="s">
        <v>28</v>
      </c>
      <c r="P123" s="17">
        <v>46017</v>
      </c>
    </row>
    <row r="124" spans="1:16" ht="15.6" x14ac:dyDescent="0.3">
      <c r="A124" s="4" t="s">
        <v>178</v>
      </c>
      <c r="B124" s="5">
        <f t="shared" si="1"/>
        <v>45662</v>
      </c>
      <c r="C124" s="6" t="s">
        <v>30</v>
      </c>
      <c r="D124" s="6" t="s">
        <v>50</v>
      </c>
      <c r="E124" s="6" t="s">
        <v>32</v>
      </c>
      <c r="F124" s="6" t="s">
        <v>51</v>
      </c>
      <c r="G124" s="6" t="s">
        <v>37</v>
      </c>
      <c r="H124" s="6" t="s">
        <v>72</v>
      </c>
      <c r="I124" s="6">
        <v>1</v>
      </c>
      <c r="J124" s="6">
        <v>800</v>
      </c>
      <c r="K124" s="12">
        <v>15</v>
      </c>
      <c r="L124" s="13">
        <v>680</v>
      </c>
      <c r="M124" s="13">
        <v>608.32000000000005</v>
      </c>
      <c r="N124" s="6">
        <v>71.680000000000007</v>
      </c>
      <c r="O124" s="6" t="s">
        <v>44</v>
      </c>
      <c r="P124" s="14">
        <v>45662</v>
      </c>
    </row>
    <row r="125" spans="1:16" ht="15.6" x14ac:dyDescent="0.3">
      <c r="A125" s="7" t="s">
        <v>179</v>
      </c>
      <c r="B125" s="8">
        <f t="shared" si="1"/>
        <v>45682</v>
      </c>
      <c r="C125" s="9" t="s">
        <v>30</v>
      </c>
      <c r="D125" s="9" t="s">
        <v>31</v>
      </c>
      <c r="E125" s="9" t="s">
        <v>35</v>
      </c>
      <c r="F125" s="9" t="s">
        <v>18</v>
      </c>
      <c r="G125" s="9" t="s">
        <v>37</v>
      </c>
      <c r="H125" s="9" t="s">
        <v>56</v>
      </c>
      <c r="I125" s="9">
        <v>6</v>
      </c>
      <c r="J125" s="9">
        <v>2500</v>
      </c>
      <c r="K125" s="15">
        <v>0</v>
      </c>
      <c r="L125" s="16">
        <v>15000</v>
      </c>
      <c r="M125" s="16">
        <v>10242.799999999999</v>
      </c>
      <c r="N125" s="9">
        <v>4757.2</v>
      </c>
      <c r="O125" s="9" t="s">
        <v>44</v>
      </c>
      <c r="P125" s="17">
        <v>45682</v>
      </c>
    </row>
    <row r="126" spans="1:16" ht="15.6" x14ac:dyDescent="0.3">
      <c r="A126" s="4" t="s">
        <v>180</v>
      </c>
      <c r="B126" s="5">
        <f t="shared" si="1"/>
        <v>45703</v>
      </c>
      <c r="C126" s="6" t="s">
        <v>40</v>
      </c>
      <c r="D126" s="6" t="s">
        <v>61</v>
      </c>
      <c r="E126" s="6" t="s">
        <v>25</v>
      </c>
      <c r="F126" s="6" t="s">
        <v>42</v>
      </c>
      <c r="G126" s="6" t="s">
        <v>26</v>
      </c>
      <c r="H126" s="6" t="s">
        <v>70</v>
      </c>
      <c r="I126" s="6">
        <v>4</v>
      </c>
      <c r="J126" s="6">
        <v>10000</v>
      </c>
      <c r="K126" s="12">
        <v>15</v>
      </c>
      <c r="L126" s="13">
        <v>34000</v>
      </c>
      <c r="M126" s="13">
        <v>28641.5</v>
      </c>
      <c r="N126" s="6">
        <v>5358.5</v>
      </c>
      <c r="O126" s="6" t="s">
        <v>44</v>
      </c>
      <c r="P126" s="14">
        <v>45703</v>
      </c>
    </row>
    <row r="127" spans="1:16" ht="15.6" x14ac:dyDescent="0.3">
      <c r="A127" s="7" t="s">
        <v>181</v>
      </c>
      <c r="B127" s="8">
        <f t="shared" si="1"/>
        <v>45836</v>
      </c>
      <c r="C127" s="9" t="s">
        <v>30</v>
      </c>
      <c r="D127" s="9" t="s">
        <v>50</v>
      </c>
      <c r="E127" s="9" t="s">
        <v>32</v>
      </c>
      <c r="F127" s="9" t="s">
        <v>51</v>
      </c>
      <c r="G127" s="9" t="s">
        <v>37</v>
      </c>
      <c r="H127" s="9" t="s">
        <v>56</v>
      </c>
      <c r="I127" s="9">
        <v>10</v>
      </c>
      <c r="J127" s="9">
        <v>2500</v>
      </c>
      <c r="K127" s="15">
        <v>10</v>
      </c>
      <c r="L127" s="16">
        <v>22500</v>
      </c>
      <c r="M127" s="16">
        <v>14879.84</v>
      </c>
      <c r="N127" s="9">
        <v>7620.16</v>
      </c>
      <c r="O127" s="9" t="s">
        <v>28</v>
      </c>
      <c r="P127" s="17">
        <v>45836</v>
      </c>
    </row>
    <row r="128" spans="1:16" ht="15.6" x14ac:dyDescent="0.3">
      <c r="A128" s="4" t="s">
        <v>182</v>
      </c>
      <c r="B128" s="5">
        <f t="shared" si="1"/>
        <v>46003</v>
      </c>
      <c r="C128" s="6" t="s">
        <v>40</v>
      </c>
      <c r="D128" s="6" t="s">
        <v>61</v>
      </c>
      <c r="E128" s="6" t="s">
        <v>35</v>
      </c>
      <c r="F128" s="6" t="s">
        <v>62</v>
      </c>
      <c r="G128" s="6" t="s">
        <v>26</v>
      </c>
      <c r="H128" s="6" t="s">
        <v>27</v>
      </c>
      <c r="I128" s="6">
        <v>7</v>
      </c>
      <c r="J128" s="6">
        <v>6000</v>
      </c>
      <c r="K128" s="12">
        <v>10</v>
      </c>
      <c r="L128" s="13">
        <v>37800</v>
      </c>
      <c r="M128" s="13">
        <v>31408.29</v>
      </c>
      <c r="N128" s="6">
        <v>6391.71</v>
      </c>
      <c r="O128" s="6" t="s">
        <v>44</v>
      </c>
      <c r="P128" s="14">
        <v>46003</v>
      </c>
    </row>
    <row r="129" spans="1:16" ht="15.6" x14ac:dyDescent="0.3">
      <c r="A129" s="7" t="s">
        <v>183</v>
      </c>
      <c r="B129" s="8">
        <f t="shared" si="1"/>
        <v>45940</v>
      </c>
      <c r="C129" s="9" t="s">
        <v>30</v>
      </c>
      <c r="D129" s="9" t="s">
        <v>31</v>
      </c>
      <c r="E129" s="9" t="s">
        <v>59</v>
      </c>
      <c r="F129" s="9" t="s">
        <v>18</v>
      </c>
      <c r="G129" s="9" t="s">
        <v>37</v>
      </c>
      <c r="H129" s="9" t="s">
        <v>56</v>
      </c>
      <c r="I129" s="9">
        <v>7</v>
      </c>
      <c r="J129" s="9">
        <v>2500</v>
      </c>
      <c r="K129" s="15">
        <v>10</v>
      </c>
      <c r="L129" s="16">
        <v>15750</v>
      </c>
      <c r="M129" s="16">
        <v>10276.709999999999</v>
      </c>
      <c r="N129" s="9">
        <v>5473.29</v>
      </c>
      <c r="O129" s="9" t="s">
        <v>28</v>
      </c>
      <c r="P129" s="17">
        <v>45940</v>
      </c>
    </row>
    <row r="130" spans="1:16" ht="15.6" x14ac:dyDescent="0.3">
      <c r="A130" s="4" t="s">
        <v>184</v>
      </c>
      <c r="B130" s="5">
        <f t="shared" ref="B130:B193" si="2">DATE(YEAR(P130),MONTH(P130),DAY(P130))</f>
        <v>45990</v>
      </c>
      <c r="C130" s="6" t="s">
        <v>30</v>
      </c>
      <c r="D130" s="6" t="s">
        <v>50</v>
      </c>
      <c r="E130" s="6" t="s">
        <v>32</v>
      </c>
      <c r="F130" s="6" t="s">
        <v>42</v>
      </c>
      <c r="G130" s="6" t="s">
        <v>26</v>
      </c>
      <c r="H130" s="6" t="s">
        <v>27</v>
      </c>
      <c r="I130" s="6">
        <v>1</v>
      </c>
      <c r="J130" s="6">
        <v>6000</v>
      </c>
      <c r="K130" s="12">
        <v>10</v>
      </c>
      <c r="L130" s="13">
        <v>5400</v>
      </c>
      <c r="M130" s="13">
        <v>3536.23</v>
      </c>
      <c r="N130" s="6">
        <v>1863.77</v>
      </c>
      <c r="O130" s="6" t="s">
        <v>21</v>
      </c>
      <c r="P130" s="14">
        <v>45990</v>
      </c>
    </row>
    <row r="131" spans="1:16" ht="15.6" x14ac:dyDescent="0.3">
      <c r="A131" s="7" t="s">
        <v>185</v>
      </c>
      <c r="B131" s="8">
        <f t="shared" si="2"/>
        <v>45788</v>
      </c>
      <c r="C131" s="9" t="s">
        <v>30</v>
      </c>
      <c r="D131" s="9" t="s">
        <v>50</v>
      </c>
      <c r="E131" s="9" t="s">
        <v>59</v>
      </c>
      <c r="F131" s="9" t="s">
        <v>62</v>
      </c>
      <c r="G131" s="9" t="s">
        <v>37</v>
      </c>
      <c r="H131" s="9" t="s">
        <v>38</v>
      </c>
      <c r="I131" s="9">
        <v>1</v>
      </c>
      <c r="J131" s="9">
        <v>900</v>
      </c>
      <c r="K131" s="15">
        <v>5</v>
      </c>
      <c r="L131" s="16">
        <v>855</v>
      </c>
      <c r="M131" s="16">
        <v>624.16999999999996</v>
      </c>
      <c r="N131" s="9">
        <v>230.83</v>
      </c>
      <c r="O131" s="9" t="s">
        <v>44</v>
      </c>
      <c r="P131" s="17">
        <v>45788</v>
      </c>
    </row>
    <row r="132" spans="1:16" ht="15.6" x14ac:dyDescent="0.3">
      <c r="A132" s="4" t="s">
        <v>186</v>
      </c>
      <c r="B132" s="5">
        <f t="shared" si="2"/>
        <v>46013</v>
      </c>
      <c r="C132" s="6" t="s">
        <v>40</v>
      </c>
      <c r="D132" s="6" t="s">
        <v>61</v>
      </c>
      <c r="E132" s="6" t="s">
        <v>59</v>
      </c>
      <c r="F132" s="6" t="s">
        <v>65</v>
      </c>
      <c r="G132" s="6" t="s">
        <v>26</v>
      </c>
      <c r="H132" s="6" t="s">
        <v>27</v>
      </c>
      <c r="I132" s="6">
        <v>7</v>
      </c>
      <c r="J132" s="6">
        <v>6000</v>
      </c>
      <c r="K132" s="12">
        <v>0</v>
      </c>
      <c r="L132" s="13">
        <v>42000</v>
      </c>
      <c r="M132" s="13">
        <v>28673.58</v>
      </c>
      <c r="N132" s="6">
        <v>13326.42</v>
      </c>
      <c r="O132" s="6" t="s">
        <v>44</v>
      </c>
      <c r="P132" s="14">
        <v>46013</v>
      </c>
    </row>
    <row r="133" spans="1:16" ht="15.6" x14ac:dyDescent="0.3">
      <c r="A133" s="7" t="s">
        <v>187</v>
      </c>
      <c r="B133" s="8">
        <f t="shared" si="2"/>
        <v>45720</v>
      </c>
      <c r="C133" s="9" t="s">
        <v>30</v>
      </c>
      <c r="D133" s="9" t="s">
        <v>31</v>
      </c>
      <c r="E133" s="9" t="s">
        <v>59</v>
      </c>
      <c r="F133" s="9" t="s">
        <v>51</v>
      </c>
      <c r="G133" s="9" t="s">
        <v>19</v>
      </c>
      <c r="H133" s="9" t="s">
        <v>52</v>
      </c>
      <c r="I133" s="9">
        <v>3</v>
      </c>
      <c r="J133" s="9">
        <v>1500</v>
      </c>
      <c r="K133" s="15">
        <v>15</v>
      </c>
      <c r="L133" s="16">
        <v>3825</v>
      </c>
      <c r="M133" s="16">
        <v>2880.09</v>
      </c>
      <c r="N133" s="9">
        <v>944.91</v>
      </c>
      <c r="O133" s="9" t="s">
        <v>33</v>
      </c>
      <c r="P133" s="17">
        <v>45720</v>
      </c>
    </row>
    <row r="134" spans="1:16" ht="15.6" x14ac:dyDescent="0.3">
      <c r="A134" s="4" t="s">
        <v>188</v>
      </c>
      <c r="B134" s="5">
        <f t="shared" si="2"/>
        <v>45763</v>
      </c>
      <c r="C134" s="6" t="s">
        <v>30</v>
      </c>
      <c r="D134" s="6" t="s">
        <v>50</v>
      </c>
      <c r="E134" s="6" t="s">
        <v>25</v>
      </c>
      <c r="F134" s="6" t="s">
        <v>42</v>
      </c>
      <c r="G134" s="6" t="s">
        <v>37</v>
      </c>
      <c r="H134" s="6" t="s">
        <v>38</v>
      </c>
      <c r="I134" s="6">
        <v>1</v>
      </c>
      <c r="J134" s="6">
        <v>900</v>
      </c>
      <c r="K134" s="12">
        <v>0</v>
      </c>
      <c r="L134" s="13">
        <v>900</v>
      </c>
      <c r="M134" s="13">
        <v>725.68</v>
      </c>
      <c r="N134" s="6">
        <v>174.32</v>
      </c>
      <c r="O134" s="6" t="s">
        <v>33</v>
      </c>
      <c r="P134" s="14">
        <v>45763</v>
      </c>
    </row>
    <row r="135" spans="1:16" ht="15.6" x14ac:dyDescent="0.3">
      <c r="A135" s="7" t="s">
        <v>189</v>
      </c>
      <c r="B135" s="8">
        <f t="shared" si="2"/>
        <v>45866</v>
      </c>
      <c r="C135" s="9" t="s">
        <v>30</v>
      </c>
      <c r="D135" s="9" t="s">
        <v>50</v>
      </c>
      <c r="E135" s="9" t="s">
        <v>59</v>
      </c>
      <c r="F135" s="9" t="s">
        <v>18</v>
      </c>
      <c r="G135" s="9" t="s">
        <v>37</v>
      </c>
      <c r="H135" s="9" t="s">
        <v>72</v>
      </c>
      <c r="I135" s="9">
        <v>7</v>
      </c>
      <c r="J135" s="9">
        <v>800</v>
      </c>
      <c r="K135" s="15">
        <v>15</v>
      </c>
      <c r="L135" s="16">
        <v>4760</v>
      </c>
      <c r="M135" s="16">
        <v>4179.59</v>
      </c>
      <c r="N135" s="9">
        <v>580.41</v>
      </c>
      <c r="O135" s="9" t="s">
        <v>28</v>
      </c>
      <c r="P135" s="17">
        <v>45866</v>
      </c>
    </row>
    <row r="136" spans="1:16" ht="15.6" x14ac:dyDescent="0.3">
      <c r="A136" s="4" t="s">
        <v>190</v>
      </c>
      <c r="B136" s="5">
        <f t="shared" si="2"/>
        <v>45804</v>
      </c>
      <c r="C136" s="6" t="s">
        <v>40</v>
      </c>
      <c r="D136" s="6" t="s">
        <v>61</v>
      </c>
      <c r="E136" s="6" t="s">
        <v>48</v>
      </c>
      <c r="F136" s="6" t="s">
        <v>18</v>
      </c>
      <c r="G136" s="6" t="s">
        <v>26</v>
      </c>
      <c r="H136" s="6" t="s">
        <v>27</v>
      </c>
      <c r="I136" s="6">
        <v>10</v>
      </c>
      <c r="J136" s="6">
        <v>6000</v>
      </c>
      <c r="K136" s="12">
        <v>5</v>
      </c>
      <c r="L136" s="13">
        <v>57000</v>
      </c>
      <c r="M136" s="13">
        <v>37087.64</v>
      </c>
      <c r="N136" s="6">
        <v>19912.36</v>
      </c>
      <c r="O136" s="6" t="s">
        <v>33</v>
      </c>
      <c r="P136" s="14">
        <v>45804</v>
      </c>
    </row>
    <row r="137" spans="1:16" ht="15.6" x14ac:dyDescent="0.3">
      <c r="A137" s="7" t="s">
        <v>191</v>
      </c>
      <c r="B137" s="8">
        <f t="shared" si="2"/>
        <v>46019</v>
      </c>
      <c r="C137" s="9" t="s">
        <v>15</v>
      </c>
      <c r="D137" s="9" t="s">
        <v>16</v>
      </c>
      <c r="E137" s="9" t="s">
        <v>35</v>
      </c>
      <c r="F137" s="9" t="s">
        <v>65</v>
      </c>
      <c r="G137" s="9" t="s">
        <v>37</v>
      </c>
      <c r="H137" s="9" t="s">
        <v>72</v>
      </c>
      <c r="I137" s="9">
        <v>2</v>
      </c>
      <c r="J137" s="9">
        <v>800</v>
      </c>
      <c r="K137" s="15">
        <v>5</v>
      </c>
      <c r="L137" s="16">
        <v>1520</v>
      </c>
      <c r="M137" s="16">
        <v>1207.1199999999999</v>
      </c>
      <c r="N137" s="9">
        <v>312.88</v>
      </c>
      <c r="O137" s="9" t="s">
        <v>33</v>
      </c>
      <c r="P137" s="17">
        <v>46019</v>
      </c>
    </row>
    <row r="138" spans="1:16" ht="15.6" x14ac:dyDescent="0.3">
      <c r="A138" s="4" t="s">
        <v>192</v>
      </c>
      <c r="B138" s="5">
        <f t="shared" si="2"/>
        <v>45688</v>
      </c>
      <c r="C138" s="6" t="s">
        <v>23</v>
      </c>
      <c r="D138" s="6" t="s">
        <v>90</v>
      </c>
      <c r="E138" s="6" t="s">
        <v>17</v>
      </c>
      <c r="F138" s="6" t="s">
        <v>42</v>
      </c>
      <c r="G138" s="6" t="s">
        <v>26</v>
      </c>
      <c r="H138" s="6" t="s">
        <v>70</v>
      </c>
      <c r="I138" s="6">
        <v>1</v>
      </c>
      <c r="J138" s="6">
        <v>10000</v>
      </c>
      <c r="K138" s="12">
        <v>5</v>
      </c>
      <c r="L138" s="13">
        <v>9500</v>
      </c>
      <c r="M138" s="13">
        <v>7981.17</v>
      </c>
      <c r="N138" s="6">
        <v>1518.83</v>
      </c>
      <c r="O138" s="6" t="s">
        <v>33</v>
      </c>
      <c r="P138" s="14">
        <v>45688</v>
      </c>
    </row>
    <row r="139" spans="1:16" ht="15.6" x14ac:dyDescent="0.3">
      <c r="A139" s="7" t="s">
        <v>193</v>
      </c>
      <c r="B139" s="8">
        <f t="shared" si="2"/>
        <v>45782</v>
      </c>
      <c r="C139" s="9" t="s">
        <v>15</v>
      </c>
      <c r="D139" s="9" t="s">
        <v>16</v>
      </c>
      <c r="E139" s="9" t="s">
        <v>35</v>
      </c>
      <c r="F139" s="9" t="s">
        <v>18</v>
      </c>
      <c r="G139" s="9" t="s">
        <v>37</v>
      </c>
      <c r="H139" s="9" t="s">
        <v>72</v>
      </c>
      <c r="I139" s="9">
        <v>6</v>
      </c>
      <c r="J139" s="9">
        <v>800</v>
      </c>
      <c r="K139" s="15">
        <v>0</v>
      </c>
      <c r="L139" s="16">
        <v>4800</v>
      </c>
      <c r="M139" s="16">
        <v>4072.95</v>
      </c>
      <c r="N139" s="9">
        <v>727.05</v>
      </c>
      <c r="O139" s="9" t="s">
        <v>28</v>
      </c>
      <c r="P139" s="17">
        <v>45782</v>
      </c>
    </row>
    <row r="140" spans="1:16" ht="15.6" x14ac:dyDescent="0.3">
      <c r="A140" s="4" t="s">
        <v>194</v>
      </c>
      <c r="B140" s="5">
        <f t="shared" si="2"/>
        <v>46013</v>
      </c>
      <c r="C140" s="6" t="s">
        <v>40</v>
      </c>
      <c r="D140" s="6" t="s">
        <v>92</v>
      </c>
      <c r="E140" s="6" t="s">
        <v>35</v>
      </c>
      <c r="F140" s="6" t="s">
        <v>18</v>
      </c>
      <c r="G140" s="6" t="s">
        <v>19</v>
      </c>
      <c r="H140" s="6" t="s">
        <v>20</v>
      </c>
      <c r="I140" s="6">
        <v>4</v>
      </c>
      <c r="J140" s="6">
        <v>12000</v>
      </c>
      <c r="K140" s="12">
        <v>10</v>
      </c>
      <c r="L140" s="13">
        <v>43200</v>
      </c>
      <c r="M140" s="13">
        <v>36438.35</v>
      </c>
      <c r="N140" s="6">
        <v>6761.65</v>
      </c>
      <c r="O140" s="6" t="s">
        <v>33</v>
      </c>
      <c r="P140" s="14">
        <v>46013</v>
      </c>
    </row>
    <row r="141" spans="1:16" ht="15.6" x14ac:dyDescent="0.3">
      <c r="A141" s="7" t="s">
        <v>195</v>
      </c>
      <c r="B141" s="8">
        <f t="shared" si="2"/>
        <v>45923</v>
      </c>
      <c r="C141" s="9" t="s">
        <v>30</v>
      </c>
      <c r="D141" s="9" t="s">
        <v>50</v>
      </c>
      <c r="E141" s="9" t="s">
        <v>59</v>
      </c>
      <c r="F141" s="9" t="s">
        <v>65</v>
      </c>
      <c r="G141" s="9" t="s">
        <v>26</v>
      </c>
      <c r="H141" s="9" t="s">
        <v>70</v>
      </c>
      <c r="I141" s="9">
        <v>6</v>
      </c>
      <c r="J141" s="9">
        <v>10000</v>
      </c>
      <c r="K141" s="15">
        <v>5</v>
      </c>
      <c r="L141" s="16">
        <v>57000</v>
      </c>
      <c r="M141" s="16">
        <v>43095.33</v>
      </c>
      <c r="N141" s="9">
        <v>13904.67</v>
      </c>
      <c r="O141" s="9" t="s">
        <v>44</v>
      </c>
      <c r="P141" s="17">
        <v>45923</v>
      </c>
    </row>
    <row r="142" spans="1:16" ht="15.6" x14ac:dyDescent="0.3">
      <c r="A142" s="4" t="s">
        <v>196</v>
      </c>
      <c r="B142" s="5">
        <f t="shared" si="2"/>
        <v>45828</v>
      </c>
      <c r="C142" s="6" t="s">
        <v>15</v>
      </c>
      <c r="D142" s="6" t="s">
        <v>16</v>
      </c>
      <c r="E142" s="6" t="s">
        <v>17</v>
      </c>
      <c r="F142" s="6" t="s">
        <v>65</v>
      </c>
      <c r="G142" s="6" t="s">
        <v>26</v>
      </c>
      <c r="H142" s="6" t="s">
        <v>27</v>
      </c>
      <c r="I142" s="6">
        <v>6</v>
      </c>
      <c r="J142" s="6">
        <v>6000</v>
      </c>
      <c r="K142" s="12">
        <v>5</v>
      </c>
      <c r="L142" s="13">
        <v>34200</v>
      </c>
      <c r="M142" s="13">
        <v>22323.09</v>
      </c>
      <c r="N142" s="6">
        <v>11876.91</v>
      </c>
      <c r="O142" s="6" t="s">
        <v>44</v>
      </c>
      <c r="P142" s="14">
        <v>45828</v>
      </c>
    </row>
    <row r="143" spans="1:16" ht="15.6" x14ac:dyDescent="0.3">
      <c r="A143" s="7" t="s">
        <v>197</v>
      </c>
      <c r="B143" s="8">
        <f t="shared" si="2"/>
        <v>45923</v>
      </c>
      <c r="C143" s="9" t="s">
        <v>23</v>
      </c>
      <c r="D143" s="9" t="s">
        <v>24</v>
      </c>
      <c r="E143" s="9" t="s">
        <v>25</v>
      </c>
      <c r="F143" s="9" t="s">
        <v>36</v>
      </c>
      <c r="G143" s="9" t="s">
        <v>19</v>
      </c>
      <c r="H143" s="9" t="s">
        <v>20</v>
      </c>
      <c r="I143" s="9">
        <v>6</v>
      </c>
      <c r="J143" s="9">
        <v>12000</v>
      </c>
      <c r="K143" s="15">
        <v>10</v>
      </c>
      <c r="L143" s="16">
        <v>64800</v>
      </c>
      <c r="M143" s="16">
        <v>54939.91</v>
      </c>
      <c r="N143" s="9">
        <v>9860.09</v>
      </c>
      <c r="O143" s="9" t="s">
        <v>33</v>
      </c>
      <c r="P143" s="17">
        <v>45923</v>
      </c>
    </row>
    <row r="144" spans="1:16" ht="15.6" x14ac:dyDescent="0.3">
      <c r="A144" s="4" t="s">
        <v>198</v>
      </c>
      <c r="B144" s="5">
        <f t="shared" si="2"/>
        <v>45789</v>
      </c>
      <c r="C144" s="6" t="s">
        <v>23</v>
      </c>
      <c r="D144" s="6" t="s">
        <v>24</v>
      </c>
      <c r="E144" s="6" t="s">
        <v>35</v>
      </c>
      <c r="F144" s="6" t="s">
        <v>62</v>
      </c>
      <c r="G144" s="6" t="s">
        <v>26</v>
      </c>
      <c r="H144" s="6" t="s">
        <v>27</v>
      </c>
      <c r="I144" s="6">
        <v>10</v>
      </c>
      <c r="J144" s="6">
        <v>6000</v>
      </c>
      <c r="K144" s="12">
        <v>5</v>
      </c>
      <c r="L144" s="13">
        <v>57000</v>
      </c>
      <c r="M144" s="13">
        <v>44939.5</v>
      </c>
      <c r="N144" s="6">
        <v>12060.5</v>
      </c>
      <c r="O144" s="6" t="s">
        <v>21</v>
      </c>
      <c r="P144" s="14">
        <v>45789</v>
      </c>
    </row>
    <row r="145" spans="1:16" ht="15.6" x14ac:dyDescent="0.3">
      <c r="A145" s="7" t="s">
        <v>199</v>
      </c>
      <c r="B145" s="8">
        <f t="shared" si="2"/>
        <v>45673</v>
      </c>
      <c r="C145" s="9" t="s">
        <v>30</v>
      </c>
      <c r="D145" s="9" t="s">
        <v>31</v>
      </c>
      <c r="E145" s="9" t="s">
        <v>35</v>
      </c>
      <c r="F145" s="9" t="s">
        <v>18</v>
      </c>
      <c r="G145" s="9" t="s">
        <v>26</v>
      </c>
      <c r="H145" s="9" t="s">
        <v>27</v>
      </c>
      <c r="I145" s="9">
        <v>8</v>
      </c>
      <c r="J145" s="9">
        <v>6000</v>
      </c>
      <c r="K145" s="15">
        <v>0</v>
      </c>
      <c r="L145" s="16">
        <v>48000</v>
      </c>
      <c r="M145" s="16">
        <v>32416.53</v>
      </c>
      <c r="N145" s="9">
        <v>15583.47</v>
      </c>
      <c r="O145" s="9" t="s">
        <v>33</v>
      </c>
      <c r="P145" s="17">
        <v>45673</v>
      </c>
    </row>
    <row r="146" spans="1:16" ht="15.6" x14ac:dyDescent="0.3">
      <c r="A146" s="4" t="s">
        <v>200</v>
      </c>
      <c r="B146" s="5">
        <f t="shared" si="2"/>
        <v>45917</v>
      </c>
      <c r="C146" s="6" t="s">
        <v>23</v>
      </c>
      <c r="D146" s="6" t="s">
        <v>90</v>
      </c>
      <c r="E146" s="6" t="s">
        <v>35</v>
      </c>
      <c r="F146" s="6" t="s">
        <v>51</v>
      </c>
      <c r="G146" s="6" t="s">
        <v>37</v>
      </c>
      <c r="H146" s="6" t="s">
        <v>56</v>
      </c>
      <c r="I146" s="6">
        <v>9</v>
      </c>
      <c r="J146" s="6">
        <v>2500</v>
      </c>
      <c r="K146" s="12">
        <v>5</v>
      </c>
      <c r="L146" s="13">
        <v>21375</v>
      </c>
      <c r="M146" s="13">
        <v>15003.19</v>
      </c>
      <c r="N146" s="6">
        <v>6371.81</v>
      </c>
      <c r="O146" s="6" t="s">
        <v>28</v>
      </c>
      <c r="P146" s="14">
        <v>45917</v>
      </c>
    </row>
    <row r="147" spans="1:16" ht="15.6" x14ac:dyDescent="0.3">
      <c r="A147" s="7" t="s">
        <v>201</v>
      </c>
      <c r="B147" s="8">
        <f t="shared" si="2"/>
        <v>45720</v>
      </c>
      <c r="C147" s="9" t="s">
        <v>23</v>
      </c>
      <c r="D147" s="9" t="s">
        <v>24</v>
      </c>
      <c r="E147" s="9" t="s">
        <v>25</v>
      </c>
      <c r="F147" s="9" t="s">
        <v>36</v>
      </c>
      <c r="G147" s="9" t="s">
        <v>26</v>
      </c>
      <c r="H147" s="9" t="s">
        <v>70</v>
      </c>
      <c r="I147" s="9">
        <v>3</v>
      </c>
      <c r="J147" s="9">
        <v>10000</v>
      </c>
      <c r="K147" s="15">
        <v>0</v>
      </c>
      <c r="L147" s="16">
        <v>30000</v>
      </c>
      <c r="M147" s="16">
        <v>26463.81</v>
      </c>
      <c r="N147" s="9">
        <v>3536.19</v>
      </c>
      <c r="O147" s="9" t="s">
        <v>28</v>
      </c>
      <c r="P147" s="17">
        <v>45720</v>
      </c>
    </row>
    <row r="148" spans="1:16" ht="15.6" x14ac:dyDescent="0.3">
      <c r="A148" s="4" t="s">
        <v>202</v>
      </c>
      <c r="B148" s="5">
        <f t="shared" si="2"/>
        <v>45745</v>
      </c>
      <c r="C148" s="6" t="s">
        <v>40</v>
      </c>
      <c r="D148" s="6" t="s">
        <v>92</v>
      </c>
      <c r="E148" s="6" t="s">
        <v>32</v>
      </c>
      <c r="F148" s="6" t="s">
        <v>42</v>
      </c>
      <c r="G148" s="6" t="s">
        <v>19</v>
      </c>
      <c r="H148" s="6" t="s">
        <v>43</v>
      </c>
      <c r="I148" s="6">
        <v>2</v>
      </c>
      <c r="J148" s="6">
        <v>55000</v>
      </c>
      <c r="K148" s="12">
        <v>5</v>
      </c>
      <c r="L148" s="13">
        <v>104500</v>
      </c>
      <c r="M148" s="13">
        <v>87402.21</v>
      </c>
      <c r="N148" s="6">
        <v>17097.79</v>
      </c>
      <c r="O148" s="6" t="s">
        <v>44</v>
      </c>
      <c r="P148" s="14">
        <v>45745</v>
      </c>
    </row>
    <row r="149" spans="1:16" ht="15.6" x14ac:dyDescent="0.3">
      <c r="A149" s="7" t="s">
        <v>203</v>
      </c>
      <c r="B149" s="8">
        <f t="shared" si="2"/>
        <v>45952</v>
      </c>
      <c r="C149" s="9" t="s">
        <v>23</v>
      </c>
      <c r="D149" s="9" t="s">
        <v>58</v>
      </c>
      <c r="E149" s="9" t="s">
        <v>35</v>
      </c>
      <c r="F149" s="9" t="s">
        <v>62</v>
      </c>
      <c r="G149" s="9" t="s">
        <v>19</v>
      </c>
      <c r="H149" s="9" t="s">
        <v>43</v>
      </c>
      <c r="I149" s="9">
        <v>1</v>
      </c>
      <c r="J149" s="9">
        <v>55000</v>
      </c>
      <c r="K149" s="15">
        <v>0</v>
      </c>
      <c r="L149" s="16">
        <v>55000</v>
      </c>
      <c r="M149" s="16">
        <v>39313</v>
      </c>
      <c r="N149" s="9">
        <v>15687</v>
      </c>
      <c r="O149" s="9" t="s">
        <v>33</v>
      </c>
      <c r="P149" s="17">
        <v>45952</v>
      </c>
    </row>
    <row r="150" spans="1:16" ht="15.6" x14ac:dyDescent="0.3">
      <c r="A150" s="4" t="s">
        <v>204</v>
      </c>
      <c r="B150" s="5">
        <f t="shared" si="2"/>
        <v>45724</v>
      </c>
      <c r="C150" s="6" t="s">
        <v>23</v>
      </c>
      <c r="D150" s="6" t="s">
        <v>24</v>
      </c>
      <c r="E150" s="6" t="s">
        <v>25</v>
      </c>
      <c r="F150" s="6" t="s">
        <v>36</v>
      </c>
      <c r="G150" s="6" t="s">
        <v>37</v>
      </c>
      <c r="H150" s="6" t="s">
        <v>38</v>
      </c>
      <c r="I150" s="6">
        <v>1</v>
      </c>
      <c r="J150" s="6">
        <v>900</v>
      </c>
      <c r="K150" s="12">
        <v>15</v>
      </c>
      <c r="L150" s="13">
        <v>765</v>
      </c>
      <c r="M150" s="13">
        <v>581.33000000000004</v>
      </c>
      <c r="N150" s="6">
        <v>183.67</v>
      </c>
      <c r="O150" s="6" t="s">
        <v>21</v>
      </c>
      <c r="P150" s="14">
        <v>45724</v>
      </c>
    </row>
    <row r="151" spans="1:16" ht="15.6" x14ac:dyDescent="0.3">
      <c r="A151" s="7" t="s">
        <v>205</v>
      </c>
      <c r="B151" s="8">
        <f t="shared" si="2"/>
        <v>45671</v>
      </c>
      <c r="C151" s="9" t="s">
        <v>40</v>
      </c>
      <c r="D151" s="9" t="s">
        <v>41</v>
      </c>
      <c r="E151" s="9" t="s">
        <v>25</v>
      </c>
      <c r="F151" s="9" t="s">
        <v>18</v>
      </c>
      <c r="G151" s="9" t="s">
        <v>26</v>
      </c>
      <c r="H151" s="9" t="s">
        <v>27</v>
      </c>
      <c r="I151" s="9">
        <v>1</v>
      </c>
      <c r="J151" s="9">
        <v>6000</v>
      </c>
      <c r="K151" s="15">
        <v>0</v>
      </c>
      <c r="L151" s="16">
        <v>6000</v>
      </c>
      <c r="M151" s="16">
        <v>4871.12</v>
      </c>
      <c r="N151" s="9">
        <v>1128.8800000000001</v>
      </c>
      <c r="O151" s="9" t="s">
        <v>44</v>
      </c>
      <c r="P151" s="17">
        <v>45671</v>
      </c>
    </row>
    <row r="152" spans="1:16" ht="15.6" x14ac:dyDescent="0.3">
      <c r="A152" s="4" t="s">
        <v>206</v>
      </c>
      <c r="B152" s="5">
        <f t="shared" si="2"/>
        <v>46018</v>
      </c>
      <c r="C152" s="6" t="s">
        <v>30</v>
      </c>
      <c r="D152" s="6" t="s">
        <v>50</v>
      </c>
      <c r="E152" s="6" t="s">
        <v>25</v>
      </c>
      <c r="F152" s="6" t="s">
        <v>42</v>
      </c>
      <c r="G152" s="6" t="s">
        <v>26</v>
      </c>
      <c r="H152" s="6" t="s">
        <v>70</v>
      </c>
      <c r="I152" s="6">
        <v>1</v>
      </c>
      <c r="J152" s="6">
        <v>10000</v>
      </c>
      <c r="K152" s="12">
        <v>10</v>
      </c>
      <c r="L152" s="13">
        <v>9000</v>
      </c>
      <c r="M152" s="13">
        <v>6371.78</v>
      </c>
      <c r="N152" s="6">
        <v>2628.22</v>
      </c>
      <c r="O152" s="6" t="s">
        <v>28</v>
      </c>
      <c r="P152" s="14">
        <v>46018</v>
      </c>
    </row>
    <row r="153" spans="1:16" ht="15.6" x14ac:dyDescent="0.3">
      <c r="A153" s="7" t="s">
        <v>207</v>
      </c>
      <c r="B153" s="8">
        <f t="shared" si="2"/>
        <v>45804</v>
      </c>
      <c r="C153" s="9" t="s">
        <v>23</v>
      </c>
      <c r="D153" s="9" t="s">
        <v>24</v>
      </c>
      <c r="E153" s="9" t="s">
        <v>25</v>
      </c>
      <c r="F153" s="9" t="s">
        <v>18</v>
      </c>
      <c r="G153" s="9" t="s">
        <v>19</v>
      </c>
      <c r="H153" s="9" t="s">
        <v>20</v>
      </c>
      <c r="I153" s="9">
        <v>8</v>
      </c>
      <c r="J153" s="9">
        <v>12000</v>
      </c>
      <c r="K153" s="15">
        <v>15</v>
      </c>
      <c r="L153" s="16">
        <v>81600</v>
      </c>
      <c r="M153" s="16">
        <v>55048.67</v>
      </c>
      <c r="N153" s="9">
        <v>26551.33</v>
      </c>
      <c r="O153" s="9" t="s">
        <v>33</v>
      </c>
      <c r="P153" s="17">
        <v>45804</v>
      </c>
    </row>
    <row r="154" spans="1:16" ht="15.6" x14ac:dyDescent="0.3">
      <c r="A154" s="4" t="s">
        <v>208</v>
      </c>
      <c r="B154" s="5">
        <f t="shared" si="2"/>
        <v>45913</v>
      </c>
      <c r="C154" s="6" t="s">
        <v>15</v>
      </c>
      <c r="D154" s="6" t="s">
        <v>16</v>
      </c>
      <c r="E154" s="6" t="s">
        <v>17</v>
      </c>
      <c r="F154" s="6" t="s">
        <v>36</v>
      </c>
      <c r="G154" s="6" t="s">
        <v>19</v>
      </c>
      <c r="H154" s="6" t="s">
        <v>43</v>
      </c>
      <c r="I154" s="6">
        <v>6</v>
      </c>
      <c r="J154" s="6">
        <v>55000</v>
      </c>
      <c r="K154" s="12">
        <v>0</v>
      </c>
      <c r="L154" s="13">
        <v>330000</v>
      </c>
      <c r="M154" s="13">
        <v>250281.87</v>
      </c>
      <c r="N154" s="6">
        <v>79718.13</v>
      </c>
      <c r="O154" s="6" t="s">
        <v>33</v>
      </c>
      <c r="P154" s="14">
        <v>45913</v>
      </c>
    </row>
    <row r="155" spans="1:16" ht="15.6" x14ac:dyDescent="0.3">
      <c r="A155" s="7" t="s">
        <v>209</v>
      </c>
      <c r="B155" s="8">
        <f t="shared" si="2"/>
        <v>45659</v>
      </c>
      <c r="C155" s="9" t="s">
        <v>15</v>
      </c>
      <c r="D155" s="9" t="s">
        <v>55</v>
      </c>
      <c r="E155" s="9" t="s">
        <v>25</v>
      </c>
      <c r="F155" s="9" t="s">
        <v>51</v>
      </c>
      <c r="G155" s="9" t="s">
        <v>19</v>
      </c>
      <c r="H155" s="9" t="s">
        <v>20</v>
      </c>
      <c r="I155" s="9">
        <v>8</v>
      </c>
      <c r="J155" s="9">
        <v>12000</v>
      </c>
      <c r="K155" s="15">
        <v>15</v>
      </c>
      <c r="L155" s="16">
        <v>81600</v>
      </c>
      <c r="M155" s="16">
        <v>66945.25</v>
      </c>
      <c r="N155" s="9">
        <v>14654.75</v>
      </c>
      <c r="O155" s="9" t="s">
        <v>28</v>
      </c>
      <c r="P155" s="17">
        <v>45659</v>
      </c>
    </row>
    <row r="156" spans="1:16" ht="15.6" x14ac:dyDescent="0.3">
      <c r="A156" s="4" t="s">
        <v>210</v>
      </c>
      <c r="B156" s="5">
        <f t="shared" si="2"/>
        <v>45721</v>
      </c>
      <c r="C156" s="6" t="s">
        <v>30</v>
      </c>
      <c r="D156" s="6" t="s">
        <v>31</v>
      </c>
      <c r="E156" s="6" t="s">
        <v>48</v>
      </c>
      <c r="F156" s="6" t="s">
        <v>65</v>
      </c>
      <c r="G156" s="6" t="s">
        <v>26</v>
      </c>
      <c r="H156" s="6" t="s">
        <v>70</v>
      </c>
      <c r="I156" s="6">
        <v>5</v>
      </c>
      <c r="J156" s="6">
        <v>10000</v>
      </c>
      <c r="K156" s="12">
        <v>0</v>
      </c>
      <c r="L156" s="13">
        <v>50000</v>
      </c>
      <c r="M156" s="13">
        <v>34085.629999999997</v>
      </c>
      <c r="N156" s="6">
        <v>15914.37</v>
      </c>
      <c r="O156" s="6" t="s">
        <v>28</v>
      </c>
      <c r="P156" s="14">
        <v>45721</v>
      </c>
    </row>
    <row r="157" spans="1:16" ht="15.6" x14ac:dyDescent="0.3">
      <c r="A157" s="7" t="s">
        <v>211</v>
      </c>
      <c r="B157" s="8">
        <f t="shared" si="2"/>
        <v>46007</v>
      </c>
      <c r="C157" s="9" t="s">
        <v>15</v>
      </c>
      <c r="D157" s="9" t="s">
        <v>16</v>
      </c>
      <c r="E157" s="9" t="s">
        <v>59</v>
      </c>
      <c r="F157" s="9" t="s">
        <v>65</v>
      </c>
      <c r="G157" s="9" t="s">
        <v>37</v>
      </c>
      <c r="H157" s="9" t="s">
        <v>38</v>
      </c>
      <c r="I157" s="9">
        <v>4</v>
      </c>
      <c r="J157" s="9">
        <v>900</v>
      </c>
      <c r="K157" s="15">
        <v>15</v>
      </c>
      <c r="L157" s="16">
        <v>3060</v>
      </c>
      <c r="M157" s="16">
        <v>2211.46</v>
      </c>
      <c r="N157" s="9">
        <v>848.54</v>
      </c>
      <c r="O157" s="9" t="s">
        <v>28</v>
      </c>
      <c r="P157" s="17">
        <v>46007</v>
      </c>
    </row>
    <row r="158" spans="1:16" ht="15.6" x14ac:dyDescent="0.3">
      <c r="A158" s="4" t="s">
        <v>212</v>
      </c>
      <c r="B158" s="5">
        <f t="shared" si="2"/>
        <v>45766</v>
      </c>
      <c r="C158" s="6" t="s">
        <v>40</v>
      </c>
      <c r="D158" s="6" t="s">
        <v>61</v>
      </c>
      <c r="E158" s="6" t="s">
        <v>48</v>
      </c>
      <c r="F158" s="6" t="s">
        <v>65</v>
      </c>
      <c r="G158" s="6" t="s">
        <v>37</v>
      </c>
      <c r="H158" s="6" t="s">
        <v>72</v>
      </c>
      <c r="I158" s="6">
        <v>8</v>
      </c>
      <c r="J158" s="6">
        <v>800</v>
      </c>
      <c r="K158" s="12">
        <v>5</v>
      </c>
      <c r="L158" s="13">
        <v>6080</v>
      </c>
      <c r="M158" s="13">
        <v>5452.03</v>
      </c>
      <c r="N158" s="6">
        <v>627.97</v>
      </c>
      <c r="O158" s="6" t="s">
        <v>28</v>
      </c>
      <c r="P158" s="14">
        <v>45766</v>
      </c>
    </row>
    <row r="159" spans="1:16" ht="15.6" x14ac:dyDescent="0.3">
      <c r="A159" s="7" t="s">
        <v>213</v>
      </c>
      <c r="B159" s="8">
        <f t="shared" si="2"/>
        <v>45966</v>
      </c>
      <c r="C159" s="9" t="s">
        <v>15</v>
      </c>
      <c r="D159" s="9" t="s">
        <v>16</v>
      </c>
      <c r="E159" s="9" t="s">
        <v>48</v>
      </c>
      <c r="F159" s="9" t="s">
        <v>42</v>
      </c>
      <c r="G159" s="9" t="s">
        <v>37</v>
      </c>
      <c r="H159" s="9" t="s">
        <v>72</v>
      </c>
      <c r="I159" s="9">
        <v>6</v>
      </c>
      <c r="J159" s="9">
        <v>800</v>
      </c>
      <c r="K159" s="15">
        <v>5</v>
      </c>
      <c r="L159" s="16">
        <v>4560</v>
      </c>
      <c r="M159" s="16">
        <v>3130.5</v>
      </c>
      <c r="N159" s="9">
        <v>1429.5</v>
      </c>
      <c r="O159" s="9" t="s">
        <v>44</v>
      </c>
      <c r="P159" s="17">
        <v>45966</v>
      </c>
    </row>
    <row r="160" spans="1:16" ht="15.6" x14ac:dyDescent="0.3">
      <c r="A160" s="4" t="s">
        <v>214</v>
      </c>
      <c r="B160" s="5">
        <f t="shared" si="2"/>
        <v>45717</v>
      </c>
      <c r="C160" s="6" t="s">
        <v>15</v>
      </c>
      <c r="D160" s="6" t="s">
        <v>55</v>
      </c>
      <c r="E160" s="6" t="s">
        <v>32</v>
      </c>
      <c r="F160" s="6" t="s">
        <v>42</v>
      </c>
      <c r="G160" s="6" t="s">
        <v>19</v>
      </c>
      <c r="H160" s="6" t="s">
        <v>43</v>
      </c>
      <c r="I160" s="6">
        <v>1</v>
      </c>
      <c r="J160" s="6">
        <v>55000</v>
      </c>
      <c r="K160" s="12">
        <v>0</v>
      </c>
      <c r="L160" s="13">
        <v>55000</v>
      </c>
      <c r="M160" s="13">
        <v>36260.120000000003</v>
      </c>
      <c r="N160" s="6">
        <v>18739.88</v>
      </c>
      <c r="O160" s="6" t="s">
        <v>21</v>
      </c>
      <c r="P160" s="14">
        <v>45717</v>
      </c>
    </row>
    <row r="161" spans="1:16" ht="15.6" x14ac:dyDescent="0.3">
      <c r="A161" s="7" t="s">
        <v>215</v>
      </c>
      <c r="B161" s="8">
        <f t="shared" si="2"/>
        <v>45703</v>
      </c>
      <c r="C161" s="9" t="s">
        <v>30</v>
      </c>
      <c r="D161" s="9" t="s">
        <v>50</v>
      </c>
      <c r="E161" s="9" t="s">
        <v>25</v>
      </c>
      <c r="F161" s="9" t="s">
        <v>62</v>
      </c>
      <c r="G161" s="9" t="s">
        <v>19</v>
      </c>
      <c r="H161" s="9" t="s">
        <v>43</v>
      </c>
      <c r="I161" s="9">
        <v>1</v>
      </c>
      <c r="J161" s="9">
        <v>55000</v>
      </c>
      <c r="K161" s="15">
        <v>15</v>
      </c>
      <c r="L161" s="16">
        <v>46750</v>
      </c>
      <c r="M161" s="16">
        <v>39451.839999999997</v>
      </c>
      <c r="N161" s="9">
        <v>7298.16</v>
      </c>
      <c r="O161" s="9" t="s">
        <v>28</v>
      </c>
      <c r="P161" s="17">
        <v>45703</v>
      </c>
    </row>
    <row r="162" spans="1:16" ht="15.6" x14ac:dyDescent="0.3">
      <c r="A162" s="4" t="s">
        <v>216</v>
      </c>
      <c r="B162" s="5">
        <f t="shared" si="2"/>
        <v>45733</v>
      </c>
      <c r="C162" s="6" t="s">
        <v>15</v>
      </c>
      <c r="D162" s="6" t="s">
        <v>55</v>
      </c>
      <c r="E162" s="6" t="s">
        <v>25</v>
      </c>
      <c r="F162" s="6" t="s">
        <v>51</v>
      </c>
      <c r="G162" s="6" t="s">
        <v>19</v>
      </c>
      <c r="H162" s="6" t="s">
        <v>20</v>
      </c>
      <c r="I162" s="6">
        <v>3</v>
      </c>
      <c r="J162" s="6">
        <v>12000</v>
      </c>
      <c r="K162" s="12">
        <v>0</v>
      </c>
      <c r="L162" s="13">
        <v>36000</v>
      </c>
      <c r="M162" s="13">
        <v>23869.89</v>
      </c>
      <c r="N162" s="6">
        <v>12130.11</v>
      </c>
      <c r="O162" s="6" t="s">
        <v>33</v>
      </c>
      <c r="P162" s="14">
        <v>45733</v>
      </c>
    </row>
    <row r="163" spans="1:16" ht="15.6" x14ac:dyDescent="0.3">
      <c r="A163" s="7" t="s">
        <v>217</v>
      </c>
      <c r="B163" s="8">
        <f t="shared" si="2"/>
        <v>45797</v>
      </c>
      <c r="C163" s="9" t="s">
        <v>23</v>
      </c>
      <c r="D163" s="9" t="s">
        <v>24</v>
      </c>
      <c r="E163" s="9" t="s">
        <v>35</v>
      </c>
      <c r="F163" s="9" t="s">
        <v>18</v>
      </c>
      <c r="G163" s="9" t="s">
        <v>19</v>
      </c>
      <c r="H163" s="9" t="s">
        <v>20</v>
      </c>
      <c r="I163" s="9">
        <v>6</v>
      </c>
      <c r="J163" s="9">
        <v>12000</v>
      </c>
      <c r="K163" s="15">
        <v>0</v>
      </c>
      <c r="L163" s="16">
        <v>72000</v>
      </c>
      <c r="M163" s="16">
        <v>62229.19</v>
      </c>
      <c r="N163" s="9">
        <v>9770.81</v>
      </c>
      <c r="O163" s="9" t="s">
        <v>28</v>
      </c>
      <c r="P163" s="17">
        <v>45797</v>
      </c>
    </row>
    <row r="164" spans="1:16" ht="15.6" x14ac:dyDescent="0.3">
      <c r="A164" s="4" t="s">
        <v>218</v>
      </c>
      <c r="B164" s="5">
        <f t="shared" si="2"/>
        <v>45964</v>
      </c>
      <c r="C164" s="6" t="s">
        <v>15</v>
      </c>
      <c r="D164" s="6" t="s">
        <v>16</v>
      </c>
      <c r="E164" s="6" t="s">
        <v>59</v>
      </c>
      <c r="F164" s="6" t="s">
        <v>51</v>
      </c>
      <c r="G164" s="6" t="s">
        <v>26</v>
      </c>
      <c r="H164" s="6" t="s">
        <v>27</v>
      </c>
      <c r="I164" s="6">
        <v>3</v>
      </c>
      <c r="J164" s="6">
        <v>6000</v>
      </c>
      <c r="K164" s="12">
        <v>5</v>
      </c>
      <c r="L164" s="13">
        <v>17100</v>
      </c>
      <c r="M164" s="13">
        <v>14549.04</v>
      </c>
      <c r="N164" s="6">
        <v>2550.96</v>
      </c>
      <c r="O164" s="6" t="s">
        <v>44</v>
      </c>
      <c r="P164" s="14">
        <v>45964</v>
      </c>
    </row>
    <row r="165" spans="1:16" ht="15.6" x14ac:dyDescent="0.3">
      <c r="A165" s="7" t="s">
        <v>219</v>
      </c>
      <c r="B165" s="8">
        <f t="shared" si="2"/>
        <v>45984</v>
      </c>
      <c r="C165" s="9" t="s">
        <v>40</v>
      </c>
      <c r="D165" s="9" t="s">
        <v>92</v>
      </c>
      <c r="E165" s="9" t="s">
        <v>32</v>
      </c>
      <c r="F165" s="9" t="s">
        <v>42</v>
      </c>
      <c r="G165" s="9" t="s">
        <v>37</v>
      </c>
      <c r="H165" s="9" t="s">
        <v>56</v>
      </c>
      <c r="I165" s="9">
        <v>10</v>
      </c>
      <c r="J165" s="9">
        <v>2500</v>
      </c>
      <c r="K165" s="15">
        <v>15</v>
      </c>
      <c r="L165" s="16">
        <v>21250</v>
      </c>
      <c r="M165" s="16">
        <v>14160.35</v>
      </c>
      <c r="N165" s="9">
        <v>7089.65</v>
      </c>
      <c r="O165" s="9" t="s">
        <v>44</v>
      </c>
      <c r="P165" s="17">
        <v>45984</v>
      </c>
    </row>
    <row r="166" spans="1:16" ht="15.6" x14ac:dyDescent="0.3">
      <c r="A166" s="4" t="s">
        <v>220</v>
      </c>
      <c r="B166" s="5">
        <f t="shared" si="2"/>
        <v>45885</v>
      </c>
      <c r="C166" s="6" t="s">
        <v>23</v>
      </c>
      <c r="D166" s="6" t="s">
        <v>58</v>
      </c>
      <c r="E166" s="6" t="s">
        <v>35</v>
      </c>
      <c r="F166" s="6" t="s">
        <v>42</v>
      </c>
      <c r="G166" s="6" t="s">
        <v>26</v>
      </c>
      <c r="H166" s="6" t="s">
        <v>27</v>
      </c>
      <c r="I166" s="6">
        <v>4</v>
      </c>
      <c r="J166" s="6">
        <v>6000</v>
      </c>
      <c r="K166" s="12">
        <v>15</v>
      </c>
      <c r="L166" s="13">
        <v>20400</v>
      </c>
      <c r="M166" s="13">
        <v>16147.47</v>
      </c>
      <c r="N166" s="6">
        <v>4252.53</v>
      </c>
      <c r="O166" s="6" t="s">
        <v>28</v>
      </c>
      <c r="P166" s="14">
        <v>45885</v>
      </c>
    </row>
    <row r="167" spans="1:16" ht="15.6" x14ac:dyDescent="0.3">
      <c r="A167" s="7" t="s">
        <v>221</v>
      </c>
      <c r="B167" s="8">
        <f t="shared" si="2"/>
        <v>45788</v>
      </c>
      <c r="C167" s="9" t="s">
        <v>15</v>
      </c>
      <c r="D167" s="9" t="s">
        <v>55</v>
      </c>
      <c r="E167" s="9" t="s">
        <v>35</v>
      </c>
      <c r="F167" s="9" t="s">
        <v>65</v>
      </c>
      <c r="G167" s="9" t="s">
        <v>19</v>
      </c>
      <c r="H167" s="9" t="s">
        <v>20</v>
      </c>
      <c r="I167" s="9">
        <v>6</v>
      </c>
      <c r="J167" s="9">
        <v>12000</v>
      </c>
      <c r="K167" s="15">
        <v>15</v>
      </c>
      <c r="L167" s="16">
        <v>61200</v>
      </c>
      <c r="M167" s="16">
        <v>47988.2</v>
      </c>
      <c r="N167" s="9">
        <v>13211.8</v>
      </c>
      <c r="O167" s="9" t="s">
        <v>21</v>
      </c>
      <c r="P167" s="17">
        <v>45788</v>
      </c>
    </row>
    <row r="168" spans="1:16" ht="15.6" x14ac:dyDescent="0.3">
      <c r="A168" s="4" t="s">
        <v>222</v>
      </c>
      <c r="B168" s="5">
        <f t="shared" si="2"/>
        <v>45772</v>
      </c>
      <c r="C168" s="6" t="s">
        <v>15</v>
      </c>
      <c r="D168" s="6" t="s">
        <v>16</v>
      </c>
      <c r="E168" s="6" t="s">
        <v>59</v>
      </c>
      <c r="F168" s="6" t="s">
        <v>62</v>
      </c>
      <c r="G168" s="6" t="s">
        <v>37</v>
      </c>
      <c r="H168" s="6" t="s">
        <v>72</v>
      </c>
      <c r="I168" s="6">
        <v>2</v>
      </c>
      <c r="J168" s="6">
        <v>800</v>
      </c>
      <c r="K168" s="12">
        <v>0</v>
      </c>
      <c r="L168" s="13">
        <v>1600</v>
      </c>
      <c r="M168" s="13">
        <v>1240.1400000000001</v>
      </c>
      <c r="N168" s="6">
        <v>359.86</v>
      </c>
      <c r="O168" s="6" t="s">
        <v>21</v>
      </c>
      <c r="P168" s="14">
        <v>45772</v>
      </c>
    </row>
    <row r="169" spans="1:16" ht="15.6" x14ac:dyDescent="0.3">
      <c r="A169" s="7" t="s">
        <v>223</v>
      </c>
      <c r="B169" s="8">
        <f t="shared" si="2"/>
        <v>45917</v>
      </c>
      <c r="C169" s="9" t="s">
        <v>23</v>
      </c>
      <c r="D169" s="9" t="s">
        <v>58</v>
      </c>
      <c r="E169" s="9" t="s">
        <v>17</v>
      </c>
      <c r="F169" s="9" t="s">
        <v>36</v>
      </c>
      <c r="G169" s="9" t="s">
        <v>26</v>
      </c>
      <c r="H169" s="9" t="s">
        <v>70</v>
      </c>
      <c r="I169" s="9">
        <v>1</v>
      </c>
      <c r="J169" s="9">
        <v>10000</v>
      </c>
      <c r="K169" s="15">
        <v>0</v>
      </c>
      <c r="L169" s="16">
        <v>10000</v>
      </c>
      <c r="M169" s="16">
        <v>8064.53</v>
      </c>
      <c r="N169" s="9">
        <v>1935.47</v>
      </c>
      <c r="O169" s="9" t="s">
        <v>21</v>
      </c>
      <c r="P169" s="17">
        <v>45917</v>
      </c>
    </row>
    <row r="170" spans="1:16" ht="15.6" x14ac:dyDescent="0.3">
      <c r="A170" s="4" t="s">
        <v>224</v>
      </c>
      <c r="B170" s="5">
        <f t="shared" si="2"/>
        <v>45999</v>
      </c>
      <c r="C170" s="6" t="s">
        <v>23</v>
      </c>
      <c r="D170" s="6" t="s">
        <v>24</v>
      </c>
      <c r="E170" s="6" t="s">
        <v>17</v>
      </c>
      <c r="F170" s="6" t="s">
        <v>42</v>
      </c>
      <c r="G170" s="6" t="s">
        <v>37</v>
      </c>
      <c r="H170" s="6" t="s">
        <v>56</v>
      </c>
      <c r="I170" s="6">
        <v>3</v>
      </c>
      <c r="J170" s="6">
        <v>2500</v>
      </c>
      <c r="K170" s="12">
        <v>0</v>
      </c>
      <c r="L170" s="13">
        <v>7500</v>
      </c>
      <c r="M170" s="13">
        <v>5927.32</v>
      </c>
      <c r="N170" s="6">
        <v>1572.68</v>
      </c>
      <c r="O170" s="6" t="s">
        <v>33</v>
      </c>
      <c r="P170" s="14">
        <v>45999</v>
      </c>
    </row>
    <row r="171" spans="1:16" ht="15.6" x14ac:dyDescent="0.3">
      <c r="A171" s="7" t="s">
        <v>225</v>
      </c>
      <c r="B171" s="8">
        <f t="shared" si="2"/>
        <v>45872</v>
      </c>
      <c r="C171" s="9" t="s">
        <v>15</v>
      </c>
      <c r="D171" s="9" t="s">
        <v>16</v>
      </c>
      <c r="E171" s="9" t="s">
        <v>25</v>
      </c>
      <c r="F171" s="9" t="s">
        <v>36</v>
      </c>
      <c r="G171" s="9" t="s">
        <v>19</v>
      </c>
      <c r="H171" s="9" t="s">
        <v>43</v>
      </c>
      <c r="I171" s="9">
        <v>9</v>
      </c>
      <c r="J171" s="9">
        <v>55000</v>
      </c>
      <c r="K171" s="15">
        <v>5</v>
      </c>
      <c r="L171" s="16">
        <v>470250</v>
      </c>
      <c r="M171" s="16">
        <v>335226.34999999998</v>
      </c>
      <c r="N171" s="9">
        <v>135023.65</v>
      </c>
      <c r="O171" s="9" t="s">
        <v>33</v>
      </c>
      <c r="P171" s="17">
        <v>45872</v>
      </c>
    </row>
    <row r="172" spans="1:16" ht="15.6" x14ac:dyDescent="0.3">
      <c r="A172" s="4" t="s">
        <v>226</v>
      </c>
      <c r="B172" s="5">
        <f t="shared" si="2"/>
        <v>45924</v>
      </c>
      <c r="C172" s="6" t="s">
        <v>15</v>
      </c>
      <c r="D172" s="6" t="s">
        <v>16</v>
      </c>
      <c r="E172" s="6" t="s">
        <v>17</v>
      </c>
      <c r="F172" s="6" t="s">
        <v>51</v>
      </c>
      <c r="G172" s="6" t="s">
        <v>19</v>
      </c>
      <c r="H172" s="6" t="s">
        <v>43</v>
      </c>
      <c r="I172" s="6">
        <v>7</v>
      </c>
      <c r="J172" s="6">
        <v>55000</v>
      </c>
      <c r="K172" s="12">
        <v>0</v>
      </c>
      <c r="L172" s="13">
        <v>385000</v>
      </c>
      <c r="M172" s="13">
        <v>261153.33</v>
      </c>
      <c r="N172" s="6">
        <v>123846.67</v>
      </c>
      <c r="O172" s="6" t="s">
        <v>33</v>
      </c>
      <c r="P172" s="14">
        <v>45924</v>
      </c>
    </row>
    <row r="173" spans="1:16" ht="15.6" x14ac:dyDescent="0.3">
      <c r="A173" s="7" t="s">
        <v>227</v>
      </c>
      <c r="B173" s="8">
        <f t="shared" si="2"/>
        <v>45983</v>
      </c>
      <c r="C173" s="9" t="s">
        <v>15</v>
      </c>
      <c r="D173" s="9" t="s">
        <v>55</v>
      </c>
      <c r="E173" s="9" t="s">
        <v>59</v>
      </c>
      <c r="F173" s="9" t="s">
        <v>62</v>
      </c>
      <c r="G173" s="9" t="s">
        <v>37</v>
      </c>
      <c r="H173" s="9" t="s">
        <v>38</v>
      </c>
      <c r="I173" s="9">
        <v>4</v>
      </c>
      <c r="J173" s="9">
        <v>900</v>
      </c>
      <c r="K173" s="15">
        <v>0</v>
      </c>
      <c r="L173" s="16">
        <v>3600</v>
      </c>
      <c r="M173" s="16">
        <v>3239.88</v>
      </c>
      <c r="N173" s="9">
        <v>360.12</v>
      </c>
      <c r="O173" s="9" t="s">
        <v>33</v>
      </c>
      <c r="P173" s="17">
        <v>45983</v>
      </c>
    </row>
    <row r="174" spans="1:16" ht="15.6" x14ac:dyDescent="0.3">
      <c r="A174" s="4" t="s">
        <v>228</v>
      </c>
      <c r="B174" s="5">
        <f t="shared" si="2"/>
        <v>45674</v>
      </c>
      <c r="C174" s="6" t="s">
        <v>30</v>
      </c>
      <c r="D174" s="6" t="s">
        <v>31</v>
      </c>
      <c r="E174" s="6" t="s">
        <v>35</v>
      </c>
      <c r="F174" s="6" t="s">
        <v>36</v>
      </c>
      <c r="G174" s="6" t="s">
        <v>37</v>
      </c>
      <c r="H174" s="6" t="s">
        <v>72</v>
      </c>
      <c r="I174" s="6">
        <v>6</v>
      </c>
      <c r="J174" s="6">
        <v>800</v>
      </c>
      <c r="K174" s="12">
        <v>15</v>
      </c>
      <c r="L174" s="13">
        <v>4080</v>
      </c>
      <c r="M174" s="13">
        <v>2874.48</v>
      </c>
      <c r="N174" s="6">
        <v>1205.52</v>
      </c>
      <c r="O174" s="6" t="s">
        <v>28</v>
      </c>
      <c r="P174" s="14">
        <v>45674</v>
      </c>
    </row>
    <row r="175" spans="1:16" ht="15.6" x14ac:dyDescent="0.3">
      <c r="A175" s="7" t="s">
        <v>229</v>
      </c>
      <c r="B175" s="8">
        <f t="shared" si="2"/>
        <v>45831</v>
      </c>
      <c r="C175" s="9" t="s">
        <v>30</v>
      </c>
      <c r="D175" s="9" t="s">
        <v>50</v>
      </c>
      <c r="E175" s="9" t="s">
        <v>32</v>
      </c>
      <c r="F175" s="9" t="s">
        <v>36</v>
      </c>
      <c r="G175" s="9" t="s">
        <v>19</v>
      </c>
      <c r="H175" s="9" t="s">
        <v>52</v>
      </c>
      <c r="I175" s="9">
        <v>2</v>
      </c>
      <c r="J175" s="9">
        <v>1500</v>
      </c>
      <c r="K175" s="15">
        <v>0</v>
      </c>
      <c r="L175" s="16">
        <v>3000</v>
      </c>
      <c r="M175" s="16">
        <v>2284.4299999999998</v>
      </c>
      <c r="N175" s="9">
        <v>715.57</v>
      </c>
      <c r="O175" s="9" t="s">
        <v>21</v>
      </c>
      <c r="P175" s="17">
        <v>45831</v>
      </c>
    </row>
    <row r="176" spans="1:16" ht="15.6" x14ac:dyDescent="0.3">
      <c r="A176" s="4" t="s">
        <v>230</v>
      </c>
      <c r="B176" s="5">
        <f t="shared" si="2"/>
        <v>45675</v>
      </c>
      <c r="C176" s="6" t="s">
        <v>23</v>
      </c>
      <c r="D176" s="6" t="s">
        <v>58</v>
      </c>
      <c r="E176" s="6" t="s">
        <v>25</v>
      </c>
      <c r="F176" s="6" t="s">
        <v>18</v>
      </c>
      <c r="G176" s="6" t="s">
        <v>26</v>
      </c>
      <c r="H176" s="6" t="s">
        <v>27</v>
      </c>
      <c r="I176" s="6">
        <v>8</v>
      </c>
      <c r="J176" s="6">
        <v>6000</v>
      </c>
      <c r="K176" s="12">
        <v>0</v>
      </c>
      <c r="L176" s="13">
        <v>48000</v>
      </c>
      <c r="M176" s="13">
        <v>40883.57</v>
      </c>
      <c r="N176" s="6">
        <v>7116.43</v>
      </c>
      <c r="O176" s="6" t="s">
        <v>44</v>
      </c>
      <c r="P176" s="14">
        <v>45675</v>
      </c>
    </row>
    <row r="177" spans="1:16" ht="15.6" x14ac:dyDescent="0.3">
      <c r="A177" s="7" t="s">
        <v>231</v>
      </c>
      <c r="B177" s="8">
        <f t="shared" si="2"/>
        <v>45735</v>
      </c>
      <c r="C177" s="9" t="s">
        <v>15</v>
      </c>
      <c r="D177" s="9" t="s">
        <v>55</v>
      </c>
      <c r="E177" s="9" t="s">
        <v>48</v>
      </c>
      <c r="F177" s="9" t="s">
        <v>18</v>
      </c>
      <c r="G177" s="9" t="s">
        <v>26</v>
      </c>
      <c r="H177" s="9" t="s">
        <v>27</v>
      </c>
      <c r="I177" s="9">
        <v>10</v>
      </c>
      <c r="J177" s="9">
        <v>6000</v>
      </c>
      <c r="K177" s="15">
        <v>5</v>
      </c>
      <c r="L177" s="16">
        <v>57000</v>
      </c>
      <c r="M177" s="16">
        <v>38824.51</v>
      </c>
      <c r="N177" s="9">
        <v>18175.490000000002</v>
      </c>
      <c r="O177" s="9" t="s">
        <v>28</v>
      </c>
      <c r="P177" s="17">
        <v>45735</v>
      </c>
    </row>
    <row r="178" spans="1:16" ht="15.6" x14ac:dyDescent="0.3">
      <c r="A178" s="4" t="s">
        <v>232</v>
      </c>
      <c r="B178" s="5">
        <f t="shared" si="2"/>
        <v>45746</v>
      </c>
      <c r="C178" s="6" t="s">
        <v>15</v>
      </c>
      <c r="D178" s="6" t="s">
        <v>55</v>
      </c>
      <c r="E178" s="6" t="s">
        <v>59</v>
      </c>
      <c r="F178" s="6" t="s">
        <v>65</v>
      </c>
      <c r="G178" s="6" t="s">
        <v>26</v>
      </c>
      <c r="H178" s="6" t="s">
        <v>27</v>
      </c>
      <c r="I178" s="6">
        <v>6</v>
      </c>
      <c r="J178" s="6">
        <v>6000</v>
      </c>
      <c r="K178" s="12">
        <v>10</v>
      </c>
      <c r="L178" s="13">
        <v>32400</v>
      </c>
      <c r="M178" s="13">
        <v>25455.22</v>
      </c>
      <c r="N178" s="6">
        <v>6944.78</v>
      </c>
      <c r="O178" s="6" t="s">
        <v>21</v>
      </c>
      <c r="P178" s="14">
        <v>45746</v>
      </c>
    </row>
    <row r="179" spans="1:16" ht="15.6" x14ac:dyDescent="0.3">
      <c r="A179" s="7" t="s">
        <v>233</v>
      </c>
      <c r="B179" s="8">
        <f t="shared" si="2"/>
        <v>45977</v>
      </c>
      <c r="C179" s="9" t="s">
        <v>23</v>
      </c>
      <c r="D179" s="9" t="s">
        <v>24</v>
      </c>
      <c r="E179" s="9" t="s">
        <v>17</v>
      </c>
      <c r="F179" s="9" t="s">
        <v>65</v>
      </c>
      <c r="G179" s="9" t="s">
        <v>37</v>
      </c>
      <c r="H179" s="9" t="s">
        <v>72</v>
      </c>
      <c r="I179" s="9">
        <v>9</v>
      </c>
      <c r="J179" s="9">
        <v>800</v>
      </c>
      <c r="K179" s="15">
        <v>0</v>
      </c>
      <c r="L179" s="16">
        <v>7200</v>
      </c>
      <c r="M179" s="16">
        <v>5788.64</v>
      </c>
      <c r="N179" s="9">
        <v>1411.36</v>
      </c>
      <c r="O179" s="9" t="s">
        <v>44</v>
      </c>
      <c r="P179" s="17">
        <v>45977</v>
      </c>
    </row>
    <row r="180" spans="1:16" ht="15.6" x14ac:dyDescent="0.3">
      <c r="A180" s="4" t="s">
        <v>234</v>
      </c>
      <c r="B180" s="5">
        <f t="shared" si="2"/>
        <v>45789</v>
      </c>
      <c r="C180" s="6" t="s">
        <v>23</v>
      </c>
      <c r="D180" s="6" t="s">
        <v>24</v>
      </c>
      <c r="E180" s="6" t="s">
        <v>35</v>
      </c>
      <c r="F180" s="6" t="s">
        <v>36</v>
      </c>
      <c r="G180" s="6" t="s">
        <v>26</v>
      </c>
      <c r="H180" s="6" t="s">
        <v>70</v>
      </c>
      <c r="I180" s="6">
        <v>5</v>
      </c>
      <c r="J180" s="6">
        <v>10000</v>
      </c>
      <c r="K180" s="12">
        <v>0</v>
      </c>
      <c r="L180" s="13">
        <v>50000</v>
      </c>
      <c r="M180" s="13">
        <v>40657.26</v>
      </c>
      <c r="N180" s="6">
        <v>9342.74</v>
      </c>
      <c r="O180" s="6" t="s">
        <v>21</v>
      </c>
      <c r="P180" s="14">
        <v>45789</v>
      </c>
    </row>
    <row r="181" spans="1:16" ht="15.6" x14ac:dyDescent="0.3">
      <c r="A181" s="7" t="s">
        <v>235</v>
      </c>
      <c r="B181" s="8">
        <f t="shared" si="2"/>
        <v>45846</v>
      </c>
      <c r="C181" s="9" t="s">
        <v>40</v>
      </c>
      <c r="D181" s="9" t="s">
        <v>61</v>
      </c>
      <c r="E181" s="9" t="s">
        <v>17</v>
      </c>
      <c r="F181" s="9" t="s">
        <v>42</v>
      </c>
      <c r="G181" s="9" t="s">
        <v>19</v>
      </c>
      <c r="H181" s="9" t="s">
        <v>20</v>
      </c>
      <c r="I181" s="9">
        <v>2</v>
      </c>
      <c r="J181" s="9">
        <v>12000</v>
      </c>
      <c r="K181" s="15">
        <v>0</v>
      </c>
      <c r="L181" s="16">
        <v>24000</v>
      </c>
      <c r="M181" s="16">
        <v>15613.18</v>
      </c>
      <c r="N181" s="9">
        <v>8386.82</v>
      </c>
      <c r="O181" s="9" t="s">
        <v>28</v>
      </c>
      <c r="P181" s="17">
        <v>45846</v>
      </c>
    </row>
    <row r="182" spans="1:16" ht="15.6" x14ac:dyDescent="0.3">
      <c r="A182" s="4" t="s">
        <v>236</v>
      </c>
      <c r="B182" s="5">
        <f t="shared" si="2"/>
        <v>45754</v>
      </c>
      <c r="C182" s="6" t="s">
        <v>30</v>
      </c>
      <c r="D182" s="6" t="s">
        <v>50</v>
      </c>
      <c r="E182" s="6" t="s">
        <v>35</v>
      </c>
      <c r="F182" s="6" t="s">
        <v>62</v>
      </c>
      <c r="G182" s="6" t="s">
        <v>37</v>
      </c>
      <c r="H182" s="6" t="s">
        <v>38</v>
      </c>
      <c r="I182" s="6">
        <v>3</v>
      </c>
      <c r="J182" s="6">
        <v>900</v>
      </c>
      <c r="K182" s="12">
        <v>0</v>
      </c>
      <c r="L182" s="13">
        <v>2700</v>
      </c>
      <c r="M182" s="13">
        <v>1814.39</v>
      </c>
      <c r="N182" s="6">
        <v>885.61</v>
      </c>
      <c r="O182" s="6" t="s">
        <v>21</v>
      </c>
      <c r="P182" s="14">
        <v>45754</v>
      </c>
    </row>
    <row r="183" spans="1:16" ht="15.6" x14ac:dyDescent="0.3">
      <c r="A183" s="7" t="s">
        <v>237</v>
      </c>
      <c r="B183" s="8">
        <f t="shared" si="2"/>
        <v>45985</v>
      </c>
      <c r="C183" s="9" t="s">
        <v>23</v>
      </c>
      <c r="D183" s="9" t="s">
        <v>90</v>
      </c>
      <c r="E183" s="9" t="s">
        <v>59</v>
      </c>
      <c r="F183" s="9" t="s">
        <v>36</v>
      </c>
      <c r="G183" s="9" t="s">
        <v>37</v>
      </c>
      <c r="H183" s="9" t="s">
        <v>72</v>
      </c>
      <c r="I183" s="9">
        <v>10</v>
      </c>
      <c r="J183" s="9">
        <v>800</v>
      </c>
      <c r="K183" s="15">
        <v>15</v>
      </c>
      <c r="L183" s="16">
        <v>6800</v>
      </c>
      <c r="M183" s="16">
        <v>4930.21</v>
      </c>
      <c r="N183" s="9">
        <v>1869.79</v>
      </c>
      <c r="O183" s="9" t="s">
        <v>21</v>
      </c>
      <c r="P183" s="17">
        <v>45985</v>
      </c>
    </row>
    <row r="184" spans="1:16" ht="15.6" x14ac:dyDescent="0.3">
      <c r="A184" s="4" t="s">
        <v>238</v>
      </c>
      <c r="B184" s="5">
        <f t="shared" si="2"/>
        <v>45792</v>
      </c>
      <c r="C184" s="6" t="s">
        <v>23</v>
      </c>
      <c r="D184" s="6" t="s">
        <v>24</v>
      </c>
      <c r="E184" s="6" t="s">
        <v>48</v>
      </c>
      <c r="F184" s="6" t="s">
        <v>51</v>
      </c>
      <c r="G184" s="6" t="s">
        <v>19</v>
      </c>
      <c r="H184" s="6" t="s">
        <v>52</v>
      </c>
      <c r="I184" s="6">
        <v>3</v>
      </c>
      <c r="J184" s="6">
        <v>1500</v>
      </c>
      <c r="K184" s="12">
        <v>10</v>
      </c>
      <c r="L184" s="13">
        <v>4050</v>
      </c>
      <c r="M184" s="13">
        <v>3095.92</v>
      </c>
      <c r="N184" s="6">
        <v>954.08</v>
      </c>
      <c r="O184" s="6" t="s">
        <v>44</v>
      </c>
      <c r="P184" s="14">
        <v>45792</v>
      </c>
    </row>
    <row r="185" spans="1:16" ht="15.6" x14ac:dyDescent="0.3">
      <c r="A185" s="7" t="s">
        <v>239</v>
      </c>
      <c r="B185" s="8">
        <f t="shared" si="2"/>
        <v>45701</v>
      </c>
      <c r="C185" s="9" t="s">
        <v>15</v>
      </c>
      <c r="D185" s="9" t="s">
        <v>55</v>
      </c>
      <c r="E185" s="9" t="s">
        <v>59</v>
      </c>
      <c r="F185" s="9" t="s">
        <v>62</v>
      </c>
      <c r="G185" s="9" t="s">
        <v>26</v>
      </c>
      <c r="H185" s="9" t="s">
        <v>27</v>
      </c>
      <c r="I185" s="9">
        <v>10</v>
      </c>
      <c r="J185" s="9">
        <v>6000</v>
      </c>
      <c r="K185" s="15">
        <v>0</v>
      </c>
      <c r="L185" s="16">
        <v>60000</v>
      </c>
      <c r="M185" s="16">
        <v>47754.51</v>
      </c>
      <c r="N185" s="9">
        <v>12245.49</v>
      </c>
      <c r="O185" s="9" t="s">
        <v>44</v>
      </c>
      <c r="P185" s="17">
        <v>45701</v>
      </c>
    </row>
    <row r="186" spans="1:16" ht="15.6" x14ac:dyDescent="0.3">
      <c r="A186" s="4" t="s">
        <v>240</v>
      </c>
      <c r="B186" s="5">
        <f t="shared" si="2"/>
        <v>45710</v>
      </c>
      <c r="C186" s="6" t="s">
        <v>30</v>
      </c>
      <c r="D186" s="6" t="s">
        <v>50</v>
      </c>
      <c r="E186" s="6" t="s">
        <v>25</v>
      </c>
      <c r="F186" s="6" t="s">
        <v>62</v>
      </c>
      <c r="G186" s="6" t="s">
        <v>19</v>
      </c>
      <c r="H186" s="6" t="s">
        <v>20</v>
      </c>
      <c r="I186" s="6">
        <v>8</v>
      </c>
      <c r="J186" s="6">
        <v>12000</v>
      </c>
      <c r="K186" s="12">
        <v>0</v>
      </c>
      <c r="L186" s="13">
        <v>96000</v>
      </c>
      <c r="M186" s="13">
        <v>79558.210000000006</v>
      </c>
      <c r="N186" s="6">
        <v>16441.79</v>
      </c>
      <c r="O186" s="6" t="s">
        <v>44</v>
      </c>
      <c r="P186" s="14">
        <v>45710</v>
      </c>
    </row>
    <row r="187" spans="1:16" ht="15.6" x14ac:dyDescent="0.3">
      <c r="A187" s="7" t="s">
        <v>241</v>
      </c>
      <c r="B187" s="8">
        <f t="shared" si="2"/>
        <v>45660</v>
      </c>
      <c r="C187" s="9" t="s">
        <v>40</v>
      </c>
      <c r="D187" s="9" t="s">
        <v>92</v>
      </c>
      <c r="E187" s="9" t="s">
        <v>25</v>
      </c>
      <c r="F187" s="9" t="s">
        <v>36</v>
      </c>
      <c r="G187" s="9" t="s">
        <v>37</v>
      </c>
      <c r="H187" s="9" t="s">
        <v>56</v>
      </c>
      <c r="I187" s="9">
        <v>9</v>
      </c>
      <c r="J187" s="9">
        <v>2500</v>
      </c>
      <c r="K187" s="15">
        <v>10</v>
      </c>
      <c r="L187" s="16">
        <v>20250</v>
      </c>
      <c r="M187" s="16">
        <v>13164.27</v>
      </c>
      <c r="N187" s="9">
        <v>7085.73</v>
      </c>
      <c r="O187" s="9" t="s">
        <v>33</v>
      </c>
      <c r="P187" s="17">
        <v>45660</v>
      </c>
    </row>
    <row r="188" spans="1:16" ht="15.6" x14ac:dyDescent="0.3">
      <c r="A188" s="4" t="s">
        <v>242</v>
      </c>
      <c r="B188" s="5">
        <f t="shared" si="2"/>
        <v>45947</v>
      </c>
      <c r="C188" s="6" t="s">
        <v>23</v>
      </c>
      <c r="D188" s="6" t="s">
        <v>90</v>
      </c>
      <c r="E188" s="6" t="s">
        <v>59</v>
      </c>
      <c r="F188" s="6" t="s">
        <v>51</v>
      </c>
      <c r="G188" s="6" t="s">
        <v>26</v>
      </c>
      <c r="H188" s="6" t="s">
        <v>70</v>
      </c>
      <c r="I188" s="6">
        <v>6</v>
      </c>
      <c r="J188" s="6">
        <v>10000</v>
      </c>
      <c r="K188" s="12">
        <v>5</v>
      </c>
      <c r="L188" s="13">
        <v>57000</v>
      </c>
      <c r="M188" s="13">
        <v>41309.660000000003</v>
      </c>
      <c r="N188" s="6">
        <v>15690.34</v>
      </c>
      <c r="O188" s="6" t="s">
        <v>21</v>
      </c>
      <c r="P188" s="14">
        <v>45947</v>
      </c>
    </row>
    <row r="189" spans="1:16" ht="15.6" x14ac:dyDescent="0.3">
      <c r="A189" s="7" t="s">
        <v>243</v>
      </c>
      <c r="B189" s="8">
        <f t="shared" si="2"/>
        <v>45898</v>
      </c>
      <c r="C189" s="9" t="s">
        <v>40</v>
      </c>
      <c r="D189" s="9" t="s">
        <v>41</v>
      </c>
      <c r="E189" s="9" t="s">
        <v>32</v>
      </c>
      <c r="F189" s="9" t="s">
        <v>42</v>
      </c>
      <c r="G189" s="9" t="s">
        <v>37</v>
      </c>
      <c r="H189" s="9" t="s">
        <v>56</v>
      </c>
      <c r="I189" s="9">
        <v>9</v>
      </c>
      <c r="J189" s="9">
        <v>2500</v>
      </c>
      <c r="K189" s="15">
        <v>10</v>
      </c>
      <c r="L189" s="16">
        <v>20250</v>
      </c>
      <c r="M189" s="16">
        <v>16600.189999999999</v>
      </c>
      <c r="N189" s="9">
        <v>3649.81</v>
      </c>
      <c r="O189" s="9" t="s">
        <v>21</v>
      </c>
      <c r="P189" s="17">
        <v>45898</v>
      </c>
    </row>
    <row r="190" spans="1:16" ht="15.6" x14ac:dyDescent="0.3">
      <c r="A190" s="4" t="s">
        <v>244</v>
      </c>
      <c r="B190" s="5">
        <f t="shared" si="2"/>
        <v>45990</v>
      </c>
      <c r="C190" s="6" t="s">
        <v>30</v>
      </c>
      <c r="D190" s="6" t="s">
        <v>50</v>
      </c>
      <c r="E190" s="6" t="s">
        <v>35</v>
      </c>
      <c r="F190" s="6" t="s">
        <v>65</v>
      </c>
      <c r="G190" s="6" t="s">
        <v>19</v>
      </c>
      <c r="H190" s="6" t="s">
        <v>20</v>
      </c>
      <c r="I190" s="6">
        <v>2</v>
      </c>
      <c r="J190" s="6">
        <v>12000</v>
      </c>
      <c r="K190" s="12">
        <v>10</v>
      </c>
      <c r="L190" s="13">
        <v>21600</v>
      </c>
      <c r="M190" s="13">
        <v>14135.49</v>
      </c>
      <c r="N190" s="6">
        <v>7464.51</v>
      </c>
      <c r="O190" s="6" t="s">
        <v>21</v>
      </c>
      <c r="P190" s="14">
        <v>45990</v>
      </c>
    </row>
    <row r="191" spans="1:16" ht="15.6" x14ac:dyDescent="0.3">
      <c r="A191" s="7" t="s">
        <v>245</v>
      </c>
      <c r="B191" s="8">
        <f t="shared" si="2"/>
        <v>45796</v>
      </c>
      <c r="C191" s="9" t="s">
        <v>30</v>
      </c>
      <c r="D191" s="9" t="s">
        <v>31</v>
      </c>
      <c r="E191" s="9" t="s">
        <v>32</v>
      </c>
      <c r="F191" s="9" t="s">
        <v>51</v>
      </c>
      <c r="G191" s="9" t="s">
        <v>37</v>
      </c>
      <c r="H191" s="9" t="s">
        <v>38</v>
      </c>
      <c r="I191" s="9">
        <v>6</v>
      </c>
      <c r="J191" s="9">
        <v>900</v>
      </c>
      <c r="K191" s="15">
        <v>15</v>
      </c>
      <c r="L191" s="16">
        <v>4590</v>
      </c>
      <c r="M191" s="16">
        <v>3403.5</v>
      </c>
      <c r="N191" s="9">
        <v>1186.5</v>
      </c>
      <c r="O191" s="9" t="s">
        <v>21</v>
      </c>
      <c r="P191" s="17">
        <v>45796</v>
      </c>
    </row>
    <row r="192" spans="1:16" ht="15.6" x14ac:dyDescent="0.3">
      <c r="A192" s="4" t="s">
        <v>246</v>
      </c>
      <c r="B192" s="5">
        <f t="shared" si="2"/>
        <v>45834</v>
      </c>
      <c r="C192" s="6" t="s">
        <v>15</v>
      </c>
      <c r="D192" s="6" t="s">
        <v>55</v>
      </c>
      <c r="E192" s="6" t="s">
        <v>17</v>
      </c>
      <c r="F192" s="6" t="s">
        <v>18</v>
      </c>
      <c r="G192" s="6" t="s">
        <v>19</v>
      </c>
      <c r="H192" s="6" t="s">
        <v>20</v>
      </c>
      <c r="I192" s="6">
        <v>5</v>
      </c>
      <c r="J192" s="6">
        <v>12000</v>
      </c>
      <c r="K192" s="12">
        <v>15</v>
      </c>
      <c r="L192" s="13">
        <v>51000</v>
      </c>
      <c r="M192" s="13">
        <v>35695.46</v>
      </c>
      <c r="N192" s="6">
        <v>15304.54</v>
      </c>
      <c r="O192" s="6" t="s">
        <v>33</v>
      </c>
      <c r="P192" s="14">
        <v>45834</v>
      </c>
    </row>
    <row r="193" spans="1:16" ht="15.6" x14ac:dyDescent="0.3">
      <c r="A193" s="7" t="s">
        <v>247</v>
      </c>
      <c r="B193" s="8">
        <f t="shared" si="2"/>
        <v>45696</v>
      </c>
      <c r="C193" s="9" t="s">
        <v>30</v>
      </c>
      <c r="D193" s="9" t="s">
        <v>31</v>
      </c>
      <c r="E193" s="9" t="s">
        <v>25</v>
      </c>
      <c r="F193" s="9" t="s">
        <v>18</v>
      </c>
      <c r="G193" s="9" t="s">
        <v>26</v>
      </c>
      <c r="H193" s="9" t="s">
        <v>27</v>
      </c>
      <c r="I193" s="9">
        <v>10</v>
      </c>
      <c r="J193" s="9">
        <v>6000</v>
      </c>
      <c r="K193" s="15">
        <v>15</v>
      </c>
      <c r="L193" s="16">
        <v>51000</v>
      </c>
      <c r="M193" s="16">
        <v>37133.33</v>
      </c>
      <c r="N193" s="9">
        <v>13866.67</v>
      </c>
      <c r="O193" s="9" t="s">
        <v>28</v>
      </c>
      <c r="P193" s="17">
        <v>45696</v>
      </c>
    </row>
    <row r="194" spans="1:16" ht="15.6" x14ac:dyDescent="0.3">
      <c r="A194" s="4" t="s">
        <v>248</v>
      </c>
      <c r="B194" s="5">
        <f t="shared" ref="B194:B257" si="3">DATE(YEAR(P194),MONTH(P194),DAY(P194))</f>
        <v>45877</v>
      </c>
      <c r="C194" s="6" t="s">
        <v>40</v>
      </c>
      <c r="D194" s="6" t="s">
        <v>41</v>
      </c>
      <c r="E194" s="6" t="s">
        <v>35</v>
      </c>
      <c r="F194" s="6" t="s">
        <v>36</v>
      </c>
      <c r="G194" s="6" t="s">
        <v>19</v>
      </c>
      <c r="H194" s="6" t="s">
        <v>43</v>
      </c>
      <c r="I194" s="6">
        <v>8</v>
      </c>
      <c r="J194" s="6">
        <v>55000</v>
      </c>
      <c r="K194" s="12">
        <v>5</v>
      </c>
      <c r="L194" s="13">
        <v>418000</v>
      </c>
      <c r="M194" s="13">
        <v>309124.45</v>
      </c>
      <c r="N194" s="6">
        <v>108875.55</v>
      </c>
      <c r="O194" s="6" t="s">
        <v>33</v>
      </c>
      <c r="P194" s="14">
        <v>45877</v>
      </c>
    </row>
    <row r="195" spans="1:16" ht="15.6" x14ac:dyDescent="0.3">
      <c r="A195" s="7" t="s">
        <v>249</v>
      </c>
      <c r="B195" s="8">
        <f t="shared" si="3"/>
        <v>45843</v>
      </c>
      <c r="C195" s="9" t="s">
        <v>30</v>
      </c>
      <c r="D195" s="9" t="s">
        <v>50</v>
      </c>
      <c r="E195" s="9" t="s">
        <v>32</v>
      </c>
      <c r="F195" s="9" t="s">
        <v>62</v>
      </c>
      <c r="G195" s="9" t="s">
        <v>19</v>
      </c>
      <c r="H195" s="9" t="s">
        <v>43</v>
      </c>
      <c r="I195" s="9">
        <v>9</v>
      </c>
      <c r="J195" s="9">
        <v>55000</v>
      </c>
      <c r="K195" s="15">
        <v>0</v>
      </c>
      <c r="L195" s="16">
        <v>495000</v>
      </c>
      <c r="M195" s="16">
        <v>362315.5</v>
      </c>
      <c r="N195" s="9">
        <v>132684.5</v>
      </c>
      <c r="O195" s="9" t="s">
        <v>21</v>
      </c>
      <c r="P195" s="17">
        <v>45843</v>
      </c>
    </row>
    <row r="196" spans="1:16" ht="15.6" x14ac:dyDescent="0.3">
      <c r="A196" s="4" t="s">
        <v>250</v>
      </c>
      <c r="B196" s="5">
        <f t="shared" si="3"/>
        <v>45754</v>
      </c>
      <c r="C196" s="6" t="s">
        <v>23</v>
      </c>
      <c r="D196" s="6" t="s">
        <v>90</v>
      </c>
      <c r="E196" s="6" t="s">
        <v>17</v>
      </c>
      <c r="F196" s="6" t="s">
        <v>18</v>
      </c>
      <c r="G196" s="6" t="s">
        <v>26</v>
      </c>
      <c r="H196" s="6" t="s">
        <v>70</v>
      </c>
      <c r="I196" s="6">
        <v>6</v>
      </c>
      <c r="J196" s="6">
        <v>10000</v>
      </c>
      <c r="K196" s="12">
        <v>15</v>
      </c>
      <c r="L196" s="13">
        <v>51000</v>
      </c>
      <c r="M196" s="13">
        <v>36797.47</v>
      </c>
      <c r="N196" s="6">
        <v>14202.53</v>
      </c>
      <c r="O196" s="6" t="s">
        <v>21</v>
      </c>
      <c r="P196" s="14">
        <v>45754</v>
      </c>
    </row>
    <row r="197" spans="1:16" ht="15.6" x14ac:dyDescent="0.3">
      <c r="A197" s="7" t="s">
        <v>251</v>
      </c>
      <c r="B197" s="8">
        <f t="shared" si="3"/>
        <v>45889</v>
      </c>
      <c r="C197" s="9" t="s">
        <v>15</v>
      </c>
      <c r="D197" s="9" t="s">
        <v>16</v>
      </c>
      <c r="E197" s="9" t="s">
        <v>17</v>
      </c>
      <c r="F197" s="9" t="s">
        <v>62</v>
      </c>
      <c r="G197" s="9" t="s">
        <v>37</v>
      </c>
      <c r="H197" s="9" t="s">
        <v>72</v>
      </c>
      <c r="I197" s="9">
        <v>7</v>
      </c>
      <c r="J197" s="9">
        <v>800</v>
      </c>
      <c r="K197" s="15">
        <v>15</v>
      </c>
      <c r="L197" s="16">
        <v>4760</v>
      </c>
      <c r="M197" s="16">
        <v>3405.66</v>
      </c>
      <c r="N197" s="9">
        <v>1354.34</v>
      </c>
      <c r="O197" s="9" t="s">
        <v>21</v>
      </c>
      <c r="P197" s="17">
        <v>45889</v>
      </c>
    </row>
    <row r="198" spans="1:16" ht="15.6" x14ac:dyDescent="0.3">
      <c r="A198" s="4" t="s">
        <v>252</v>
      </c>
      <c r="B198" s="5">
        <f t="shared" si="3"/>
        <v>45805</v>
      </c>
      <c r="C198" s="6" t="s">
        <v>30</v>
      </c>
      <c r="D198" s="6" t="s">
        <v>31</v>
      </c>
      <c r="E198" s="6" t="s">
        <v>25</v>
      </c>
      <c r="F198" s="6" t="s">
        <v>18</v>
      </c>
      <c r="G198" s="6" t="s">
        <v>19</v>
      </c>
      <c r="H198" s="6" t="s">
        <v>43</v>
      </c>
      <c r="I198" s="6">
        <v>1</v>
      </c>
      <c r="J198" s="6">
        <v>55000</v>
      </c>
      <c r="K198" s="12">
        <v>15</v>
      </c>
      <c r="L198" s="13">
        <v>46750</v>
      </c>
      <c r="M198" s="13">
        <v>35547.25</v>
      </c>
      <c r="N198" s="6">
        <v>11202.75</v>
      </c>
      <c r="O198" s="6" t="s">
        <v>21</v>
      </c>
      <c r="P198" s="14">
        <v>45805</v>
      </c>
    </row>
    <row r="199" spans="1:16" ht="15.6" x14ac:dyDescent="0.3">
      <c r="A199" s="7" t="s">
        <v>253</v>
      </c>
      <c r="B199" s="8">
        <f t="shared" si="3"/>
        <v>45672</v>
      </c>
      <c r="C199" s="9" t="s">
        <v>23</v>
      </c>
      <c r="D199" s="9" t="s">
        <v>58</v>
      </c>
      <c r="E199" s="9" t="s">
        <v>17</v>
      </c>
      <c r="F199" s="9" t="s">
        <v>42</v>
      </c>
      <c r="G199" s="9" t="s">
        <v>37</v>
      </c>
      <c r="H199" s="9" t="s">
        <v>56</v>
      </c>
      <c r="I199" s="9">
        <v>6</v>
      </c>
      <c r="J199" s="9">
        <v>2500</v>
      </c>
      <c r="K199" s="15">
        <v>5</v>
      </c>
      <c r="L199" s="16">
        <v>14250</v>
      </c>
      <c r="M199" s="16">
        <v>9597.66</v>
      </c>
      <c r="N199" s="9">
        <v>4652.34</v>
      </c>
      <c r="O199" s="9" t="s">
        <v>21</v>
      </c>
      <c r="P199" s="17">
        <v>45672</v>
      </c>
    </row>
    <row r="200" spans="1:16" ht="15.6" x14ac:dyDescent="0.3">
      <c r="A200" s="4" t="s">
        <v>254</v>
      </c>
      <c r="B200" s="5">
        <f t="shared" si="3"/>
        <v>45778</v>
      </c>
      <c r="C200" s="6" t="s">
        <v>30</v>
      </c>
      <c r="D200" s="6" t="s">
        <v>50</v>
      </c>
      <c r="E200" s="6" t="s">
        <v>59</v>
      </c>
      <c r="F200" s="6" t="s">
        <v>18</v>
      </c>
      <c r="G200" s="6" t="s">
        <v>19</v>
      </c>
      <c r="H200" s="6" t="s">
        <v>43</v>
      </c>
      <c r="I200" s="6">
        <v>9</v>
      </c>
      <c r="J200" s="6">
        <v>55000</v>
      </c>
      <c r="K200" s="12">
        <v>0</v>
      </c>
      <c r="L200" s="13">
        <v>495000</v>
      </c>
      <c r="M200" s="13">
        <v>378859.53</v>
      </c>
      <c r="N200" s="6">
        <v>116140.47</v>
      </c>
      <c r="O200" s="6" t="s">
        <v>21</v>
      </c>
      <c r="P200" s="14">
        <v>45778</v>
      </c>
    </row>
    <row r="201" spans="1:16" ht="15.6" x14ac:dyDescent="0.3">
      <c r="A201" s="7" t="s">
        <v>255</v>
      </c>
      <c r="B201" s="8">
        <f t="shared" si="3"/>
        <v>45794</v>
      </c>
      <c r="C201" s="9" t="s">
        <v>40</v>
      </c>
      <c r="D201" s="9" t="s">
        <v>41</v>
      </c>
      <c r="E201" s="9" t="s">
        <v>48</v>
      </c>
      <c r="F201" s="9" t="s">
        <v>62</v>
      </c>
      <c r="G201" s="9" t="s">
        <v>37</v>
      </c>
      <c r="H201" s="9" t="s">
        <v>72</v>
      </c>
      <c r="I201" s="9">
        <v>1</v>
      </c>
      <c r="J201" s="9">
        <v>800</v>
      </c>
      <c r="K201" s="15">
        <v>10</v>
      </c>
      <c r="L201" s="16">
        <v>720</v>
      </c>
      <c r="M201" s="16">
        <v>616.15</v>
      </c>
      <c r="N201" s="9">
        <v>103.85</v>
      </c>
      <c r="O201" s="9" t="s">
        <v>28</v>
      </c>
      <c r="P201" s="17">
        <v>45794</v>
      </c>
    </row>
    <row r="202" spans="1:16" ht="15.6" x14ac:dyDescent="0.3">
      <c r="A202" s="4" t="s">
        <v>256</v>
      </c>
      <c r="B202" s="5">
        <f t="shared" si="3"/>
        <v>45824</v>
      </c>
      <c r="C202" s="6" t="s">
        <v>40</v>
      </c>
      <c r="D202" s="6" t="s">
        <v>41</v>
      </c>
      <c r="E202" s="6" t="s">
        <v>59</v>
      </c>
      <c r="F202" s="6" t="s">
        <v>42</v>
      </c>
      <c r="G202" s="6" t="s">
        <v>37</v>
      </c>
      <c r="H202" s="6" t="s">
        <v>72</v>
      </c>
      <c r="I202" s="6">
        <v>4</v>
      </c>
      <c r="J202" s="6">
        <v>800</v>
      </c>
      <c r="K202" s="12">
        <v>0</v>
      </c>
      <c r="L202" s="13">
        <v>3200</v>
      </c>
      <c r="M202" s="13">
        <v>2840.93</v>
      </c>
      <c r="N202" s="6">
        <v>359.07</v>
      </c>
      <c r="O202" s="6" t="s">
        <v>33</v>
      </c>
      <c r="P202" s="14">
        <v>45824</v>
      </c>
    </row>
    <row r="203" spans="1:16" ht="15.6" x14ac:dyDescent="0.3">
      <c r="A203" s="7" t="s">
        <v>257</v>
      </c>
      <c r="B203" s="8">
        <f t="shared" si="3"/>
        <v>45823</v>
      </c>
      <c r="C203" s="9" t="s">
        <v>23</v>
      </c>
      <c r="D203" s="9" t="s">
        <v>90</v>
      </c>
      <c r="E203" s="9" t="s">
        <v>17</v>
      </c>
      <c r="F203" s="9" t="s">
        <v>51</v>
      </c>
      <c r="G203" s="9" t="s">
        <v>37</v>
      </c>
      <c r="H203" s="9" t="s">
        <v>38</v>
      </c>
      <c r="I203" s="9">
        <v>9</v>
      </c>
      <c r="J203" s="9">
        <v>900</v>
      </c>
      <c r="K203" s="15">
        <v>0</v>
      </c>
      <c r="L203" s="16">
        <v>8100</v>
      </c>
      <c r="M203" s="16">
        <v>5836.75</v>
      </c>
      <c r="N203" s="9">
        <v>2263.25</v>
      </c>
      <c r="O203" s="9" t="s">
        <v>28</v>
      </c>
      <c r="P203" s="17">
        <v>45823</v>
      </c>
    </row>
    <row r="204" spans="1:16" ht="15.6" x14ac:dyDescent="0.3">
      <c r="A204" s="4" t="s">
        <v>258</v>
      </c>
      <c r="B204" s="5">
        <f t="shared" si="3"/>
        <v>45676</v>
      </c>
      <c r="C204" s="6" t="s">
        <v>23</v>
      </c>
      <c r="D204" s="6" t="s">
        <v>24</v>
      </c>
      <c r="E204" s="6" t="s">
        <v>59</v>
      </c>
      <c r="F204" s="6" t="s">
        <v>18</v>
      </c>
      <c r="G204" s="6" t="s">
        <v>37</v>
      </c>
      <c r="H204" s="6" t="s">
        <v>56</v>
      </c>
      <c r="I204" s="6">
        <v>2</v>
      </c>
      <c r="J204" s="6">
        <v>2500</v>
      </c>
      <c r="K204" s="12">
        <v>0</v>
      </c>
      <c r="L204" s="13">
        <v>5000</v>
      </c>
      <c r="M204" s="13">
        <v>4466.9399999999996</v>
      </c>
      <c r="N204" s="6">
        <v>533.05999999999995</v>
      </c>
      <c r="O204" s="6" t="s">
        <v>28</v>
      </c>
      <c r="P204" s="14">
        <v>45676</v>
      </c>
    </row>
    <row r="205" spans="1:16" ht="15.6" x14ac:dyDescent="0.3">
      <c r="A205" s="7" t="s">
        <v>259</v>
      </c>
      <c r="B205" s="8">
        <f t="shared" si="3"/>
        <v>45969</v>
      </c>
      <c r="C205" s="9" t="s">
        <v>30</v>
      </c>
      <c r="D205" s="9" t="s">
        <v>50</v>
      </c>
      <c r="E205" s="9" t="s">
        <v>32</v>
      </c>
      <c r="F205" s="9" t="s">
        <v>51</v>
      </c>
      <c r="G205" s="9" t="s">
        <v>26</v>
      </c>
      <c r="H205" s="9" t="s">
        <v>27</v>
      </c>
      <c r="I205" s="9">
        <v>4</v>
      </c>
      <c r="J205" s="9">
        <v>6000</v>
      </c>
      <c r="K205" s="15">
        <v>15</v>
      </c>
      <c r="L205" s="16">
        <v>20400</v>
      </c>
      <c r="M205" s="16">
        <v>13980.66</v>
      </c>
      <c r="N205" s="9">
        <v>6419.34</v>
      </c>
      <c r="O205" s="9" t="s">
        <v>44</v>
      </c>
      <c r="P205" s="17">
        <v>45969</v>
      </c>
    </row>
    <row r="206" spans="1:16" ht="15.6" x14ac:dyDescent="0.3">
      <c r="A206" s="4" t="s">
        <v>260</v>
      </c>
      <c r="B206" s="5">
        <f t="shared" si="3"/>
        <v>45874</v>
      </c>
      <c r="C206" s="6" t="s">
        <v>40</v>
      </c>
      <c r="D206" s="6" t="s">
        <v>41</v>
      </c>
      <c r="E206" s="6" t="s">
        <v>59</v>
      </c>
      <c r="F206" s="6" t="s">
        <v>62</v>
      </c>
      <c r="G206" s="6" t="s">
        <v>37</v>
      </c>
      <c r="H206" s="6" t="s">
        <v>72</v>
      </c>
      <c r="I206" s="6">
        <v>1</v>
      </c>
      <c r="J206" s="6">
        <v>800</v>
      </c>
      <c r="K206" s="12">
        <v>10</v>
      </c>
      <c r="L206" s="13">
        <v>720</v>
      </c>
      <c r="M206" s="13">
        <v>596.83000000000004</v>
      </c>
      <c r="N206" s="6">
        <v>123.17</v>
      </c>
      <c r="O206" s="6" t="s">
        <v>28</v>
      </c>
      <c r="P206" s="14">
        <v>45874</v>
      </c>
    </row>
    <row r="207" spans="1:16" ht="15.6" x14ac:dyDescent="0.3">
      <c r="A207" s="7" t="s">
        <v>261</v>
      </c>
      <c r="B207" s="8">
        <f t="shared" si="3"/>
        <v>45841</v>
      </c>
      <c r="C207" s="9" t="s">
        <v>23</v>
      </c>
      <c r="D207" s="9" t="s">
        <v>90</v>
      </c>
      <c r="E207" s="9" t="s">
        <v>35</v>
      </c>
      <c r="F207" s="9" t="s">
        <v>51</v>
      </c>
      <c r="G207" s="9" t="s">
        <v>37</v>
      </c>
      <c r="H207" s="9" t="s">
        <v>72</v>
      </c>
      <c r="I207" s="9">
        <v>1</v>
      </c>
      <c r="J207" s="9">
        <v>800</v>
      </c>
      <c r="K207" s="15">
        <v>15</v>
      </c>
      <c r="L207" s="16">
        <v>680</v>
      </c>
      <c r="M207" s="16">
        <v>446.78</v>
      </c>
      <c r="N207" s="9">
        <v>233.22</v>
      </c>
      <c r="O207" s="9" t="s">
        <v>28</v>
      </c>
      <c r="P207" s="17">
        <v>45841</v>
      </c>
    </row>
    <row r="208" spans="1:16" ht="15.6" x14ac:dyDescent="0.3">
      <c r="A208" s="4" t="s">
        <v>262</v>
      </c>
      <c r="B208" s="5">
        <f t="shared" si="3"/>
        <v>46018</v>
      </c>
      <c r="C208" s="6" t="s">
        <v>23</v>
      </c>
      <c r="D208" s="6" t="s">
        <v>58</v>
      </c>
      <c r="E208" s="6" t="s">
        <v>59</v>
      </c>
      <c r="F208" s="6" t="s">
        <v>36</v>
      </c>
      <c r="G208" s="6" t="s">
        <v>26</v>
      </c>
      <c r="H208" s="6" t="s">
        <v>27</v>
      </c>
      <c r="I208" s="6">
        <v>10</v>
      </c>
      <c r="J208" s="6">
        <v>6000</v>
      </c>
      <c r="K208" s="12">
        <v>15</v>
      </c>
      <c r="L208" s="13">
        <v>51000</v>
      </c>
      <c r="M208" s="13">
        <v>34178.85</v>
      </c>
      <c r="N208" s="6">
        <v>16821.150000000001</v>
      </c>
      <c r="O208" s="6" t="s">
        <v>28</v>
      </c>
      <c r="P208" s="14">
        <v>46018</v>
      </c>
    </row>
    <row r="209" spans="1:16" ht="15.6" x14ac:dyDescent="0.3">
      <c r="A209" s="7" t="s">
        <v>263</v>
      </c>
      <c r="B209" s="8">
        <f t="shared" si="3"/>
        <v>45782</v>
      </c>
      <c r="C209" s="9" t="s">
        <v>30</v>
      </c>
      <c r="D209" s="9" t="s">
        <v>50</v>
      </c>
      <c r="E209" s="9" t="s">
        <v>35</v>
      </c>
      <c r="F209" s="9" t="s">
        <v>51</v>
      </c>
      <c r="G209" s="9" t="s">
        <v>26</v>
      </c>
      <c r="H209" s="9" t="s">
        <v>27</v>
      </c>
      <c r="I209" s="9">
        <v>7</v>
      </c>
      <c r="J209" s="9">
        <v>6000</v>
      </c>
      <c r="K209" s="15">
        <v>10</v>
      </c>
      <c r="L209" s="16">
        <v>37800</v>
      </c>
      <c r="M209" s="16">
        <v>24888.44</v>
      </c>
      <c r="N209" s="9">
        <v>12911.56</v>
      </c>
      <c r="O209" s="9" t="s">
        <v>28</v>
      </c>
      <c r="P209" s="17">
        <v>45782</v>
      </c>
    </row>
    <row r="210" spans="1:16" ht="15.6" x14ac:dyDescent="0.3">
      <c r="A210" s="4" t="s">
        <v>264</v>
      </c>
      <c r="B210" s="5">
        <f t="shared" si="3"/>
        <v>45788</v>
      </c>
      <c r="C210" s="6" t="s">
        <v>30</v>
      </c>
      <c r="D210" s="6" t="s">
        <v>50</v>
      </c>
      <c r="E210" s="6" t="s">
        <v>35</v>
      </c>
      <c r="F210" s="6" t="s">
        <v>65</v>
      </c>
      <c r="G210" s="6" t="s">
        <v>26</v>
      </c>
      <c r="H210" s="6" t="s">
        <v>27</v>
      </c>
      <c r="I210" s="6">
        <v>6</v>
      </c>
      <c r="J210" s="6">
        <v>6000</v>
      </c>
      <c r="K210" s="12">
        <v>10</v>
      </c>
      <c r="L210" s="13">
        <v>32400</v>
      </c>
      <c r="M210" s="13">
        <v>25442</v>
      </c>
      <c r="N210" s="6">
        <v>6958</v>
      </c>
      <c r="O210" s="6" t="s">
        <v>44</v>
      </c>
      <c r="P210" s="14">
        <v>45788</v>
      </c>
    </row>
    <row r="211" spans="1:16" ht="15.6" x14ac:dyDescent="0.3">
      <c r="A211" s="7" t="s">
        <v>265</v>
      </c>
      <c r="B211" s="8">
        <f t="shared" si="3"/>
        <v>45729</v>
      </c>
      <c r="C211" s="9" t="s">
        <v>23</v>
      </c>
      <c r="D211" s="9" t="s">
        <v>90</v>
      </c>
      <c r="E211" s="9" t="s">
        <v>48</v>
      </c>
      <c r="F211" s="9" t="s">
        <v>42</v>
      </c>
      <c r="G211" s="9" t="s">
        <v>26</v>
      </c>
      <c r="H211" s="9" t="s">
        <v>27</v>
      </c>
      <c r="I211" s="9">
        <v>8</v>
      </c>
      <c r="J211" s="9">
        <v>6000</v>
      </c>
      <c r="K211" s="15">
        <v>10</v>
      </c>
      <c r="L211" s="16">
        <v>43200</v>
      </c>
      <c r="M211" s="16">
        <v>32975.379999999997</v>
      </c>
      <c r="N211" s="9">
        <v>10224.620000000001</v>
      </c>
      <c r="O211" s="9" t="s">
        <v>21</v>
      </c>
      <c r="P211" s="17">
        <v>45729</v>
      </c>
    </row>
    <row r="212" spans="1:16" ht="15.6" x14ac:dyDescent="0.3">
      <c r="A212" s="4" t="s">
        <v>266</v>
      </c>
      <c r="B212" s="5">
        <f t="shared" si="3"/>
        <v>45905</v>
      </c>
      <c r="C212" s="6" t="s">
        <v>40</v>
      </c>
      <c r="D212" s="6" t="s">
        <v>92</v>
      </c>
      <c r="E212" s="6" t="s">
        <v>35</v>
      </c>
      <c r="F212" s="6" t="s">
        <v>42</v>
      </c>
      <c r="G212" s="6" t="s">
        <v>19</v>
      </c>
      <c r="H212" s="6" t="s">
        <v>52</v>
      </c>
      <c r="I212" s="6">
        <v>1</v>
      </c>
      <c r="J212" s="6">
        <v>1500</v>
      </c>
      <c r="K212" s="12">
        <v>0</v>
      </c>
      <c r="L212" s="13">
        <v>1500</v>
      </c>
      <c r="M212" s="13">
        <v>1292.21</v>
      </c>
      <c r="N212" s="6">
        <v>207.79</v>
      </c>
      <c r="O212" s="6" t="s">
        <v>33</v>
      </c>
      <c r="P212" s="14">
        <v>45905</v>
      </c>
    </row>
    <row r="213" spans="1:16" ht="15.6" x14ac:dyDescent="0.3">
      <c r="A213" s="7" t="s">
        <v>267</v>
      </c>
      <c r="B213" s="8">
        <f t="shared" si="3"/>
        <v>45822</v>
      </c>
      <c r="C213" s="9" t="s">
        <v>40</v>
      </c>
      <c r="D213" s="9" t="s">
        <v>41</v>
      </c>
      <c r="E213" s="9" t="s">
        <v>35</v>
      </c>
      <c r="F213" s="9" t="s">
        <v>51</v>
      </c>
      <c r="G213" s="9" t="s">
        <v>19</v>
      </c>
      <c r="H213" s="9" t="s">
        <v>52</v>
      </c>
      <c r="I213" s="9">
        <v>4</v>
      </c>
      <c r="J213" s="9">
        <v>1500</v>
      </c>
      <c r="K213" s="15">
        <v>0</v>
      </c>
      <c r="L213" s="16">
        <v>6000</v>
      </c>
      <c r="M213" s="16">
        <v>4607.08</v>
      </c>
      <c r="N213" s="9">
        <v>1392.92</v>
      </c>
      <c r="O213" s="9" t="s">
        <v>21</v>
      </c>
      <c r="P213" s="17">
        <v>45822</v>
      </c>
    </row>
    <row r="214" spans="1:16" ht="15.6" x14ac:dyDescent="0.3">
      <c r="A214" s="4" t="s">
        <v>268</v>
      </c>
      <c r="B214" s="5">
        <f t="shared" si="3"/>
        <v>45752</v>
      </c>
      <c r="C214" s="6" t="s">
        <v>23</v>
      </c>
      <c r="D214" s="6" t="s">
        <v>24</v>
      </c>
      <c r="E214" s="6" t="s">
        <v>17</v>
      </c>
      <c r="F214" s="6" t="s">
        <v>65</v>
      </c>
      <c r="G214" s="6" t="s">
        <v>37</v>
      </c>
      <c r="H214" s="6" t="s">
        <v>56</v>
      </c>
      <c r="I214" s="6">
        <v>8</v>
      </c>
      <c r="J214" s="6">
        <v>2500</v>
      </c>
      <c r="K214" s="12">
        <v>5</v>
      </c>
      <c r="L214" s="13">
        <v>19000</v>
      </c>
      <c r="M214" s="13">
        <v>14732.84</v>
      </c>
      <c r="N214" s="6">
        <v>4267.16</v>
      </c>
      <c r="O214" s="6" t="s">
        <v>44</v>
      </c>
      <c r="P214" s="14">
        <v>45752</v>
      </c>
    </row>
    <row r="215" spans="1:16" ht="15.6" x14ac:dyDescent="0.3">
      <c r="A215" s="7" t="s">
        <v>269</v>
      </c>
      <c r="B215" s="8">
        <f t="shared" si="3"/>
        <v>46002</v>
      </c>
      <c r="C215" s="9" t="s">
        <v>30</v>
      </c>
      <c r="D215" s="9" t="s">
        <v>50</v>
      </c>
      <c r="E215" s="9" t="s">
        <v>35</v>
      </c>
      <c r="F215" s="9" t="s">
        <v>62</v>
      </c>
      <c r="G215" s="9" t="s">
        <v>26</v>
      </c>
      <c r="H215" s="9" t="s">
        <v>70</v>
      </c>
      <c r="I215" s="9">
        <v>9</v>
      </c>
      <c r="J215" s="9">
        <v>10000</v>
      </c>
      <c r="K215" s="15">
        <v>0</v>
      </c>
      <c r="L215" s="16">
        <v>90000</v>
      </c>
      <c r="M215" s="16">
        <v>68955.13</v>
      </c>
      <c r="N215" s="9">
        <v>21044.87</v>
      </c>
      <c r="O215" s="9" t="s">
        <v>21</v>
      </c>
      <c r="P215" s="17">
        <v>46002</v>
      </c>
    </row>
    <row r="216" spans="1:16" ht="15.6" x14ac:dyDescent="0.3">
      <c r="A216" s="4" t="s">
        <v>270</v>
      </c>
      <c r="B216" s="5">
        <f t="shared" si="3"/>
        <v>45678</v>
      </c>
      <c r="C216" s="6" t="s">
        <v>30</v>
      </c>
      <c r="D216" s="6" t="s">
        <v>31</v>
      </c>
      <c r="E216" s="6" t="s">
        <v>35</v>
      </c>
      <c r="F216" s="6" t="s">
        <v>62</v>
      </c>
      <c r="G216" s="6" t="s">
        <v>19</v>
      </c>
      <c r="H216" s="6" t="s">
        <v>52</v>
      </c>
      <c r="I216" s="6">
        <v>10</v>
      </c>
      <c r="J216" s="6">
        <v>1500</v>
      </c>
      <c r="K216" s="12">
        <v>0</v>
      </c>
      <c r="L216" s="13">
        <v>15000</v>
      </c>
      <c r="M216" s="13">
        <v>9974.5499999999993</v>
      </c>
      <c r="N216" s="6">
        <v>5025.45</v>
      </c>
      <c r="O216" s="6" t="s">
        <v>44</v>
      </c>
      <c r="P216" s="14">
        <v>45678</v>
      </c>
    </row>
    <row r="217" spans="1:16" ht="15.6" x14ac:dyDescent="0.3">
      <c r="A217" s="7" t="s">
        <v>271</v>
      </c>
      <c r="B217" s="8">
        <f t="shared" si="3"/>
        <v>45676</v>
      </c>
      <c r="C217" s="9" t="s">
        <v>23</v>
      </c>
      <c r="D217" s="9" t="s">
        <v>58</v>
      </c>
      <c r="E217" s="9" t="s">
        <v>59</v>
      </c>
      <c r="F217" s="9" t="s">
        <v>65</v>
      </c>
      <c r="G217" s="9" t="s">
        <v>19</v>
      </c>
      <c r="H217" s="9" t="s">
        <v>43</v>
      </c>
      <c r="I217" s="9">
        <v>7</v>
      </c>
      <c r="J217" s="9">
        <v>55000</v>
      </c>
      <c r="K217" s="15">
        <v>15</v>
      </c>
      <c r="L217" s="16">
        <v>327250</v>
      </c>
      <c r="M217" s="16">
        <v>235161.60000000001</v>
      </c>
      <c r="N217" s="9">
        <v>92088.4</v>
      </c>
      <c r="O217" s="9" t="s">
        <v>21</v>
      </c>
      <c r="P217" s="17">
        <v>45676</v>
      </c>
    </row>
    <row r="218" spans="1:16" ht="15.6" x14ac:dyDescent="0.3">
      <c r="A218" s="4" t="s">
        <v>272</v>
      </c>
      <c r="B218" s="5">
        <f t="shared" si="3"/>
        <v>45728</v>
      </c>
      <c r="C218" s="6" t="s">
        <v>40</v>
      </c>
      <c r="D218" s="6" t="s">
        <v>92</v>
      </c>
      <c r="E218" s="6" t="s">
        <v>17</v>
      </c>
      <c r="F218" s="6" t="s">
        <v>51</v>
      </c>
      <c r="G218" s="6" t="s">
        <v>19</v>
      </c>
      <c r="H218" s="6" t="s">
        <v>20</v>
      </c>
      <c r="I218" s="6">
        <v>5</v>
      </c>
      <c r="J218" s="6">
        <v>12000</v>
      </c>
      <c r="K218" s="12">
        <v>15</v>
      </c>
      <c r="L218" s="13">
        <v>51000</v>
      </c>
      <c r="M218" s="13">
        <v>38161.599999999999</v>
      </c>
      <c r="N218" s="6">
        <v>12838.4</v>
      </c>
      <c r="O218" s="6" t="s">
        <v>33</v>
      </c>
      <c r="P218" s="14">
        <v>45728</v>
      </c>
    </row>
    <row r="219" spans="1:16" ht="15.6" x14ac:dyDescent="0.3">
      <c r="A219" s="7" t="s">
        <v>273</v>
      </c>
      <c r="B219" s="8">
        <f t="shared" si="3"/>
        <v>46015</v>
      </c>
      <c r="C219" s="9" t="s">
        <v>30</v>
      </c>
      <c r="D219" s="9" t="s">
        <v>31</v>
      </c>
      <c r="E219" s="9" t="s">
        <v>25</v>
      </c>
      <c r="F219" s="9" t="s">
        <v>65</v>
      </c>
      <c r="G219" s="9" t="s">
        <v>37</v>
      </c>
      <c r="H219" s="9" t="s">
        <v>56</v>
      </c>
      <c r="I219" s="9">
        <v>6</v>
      </c>
      <c r="J219" s="9">
        <v>2500</v>
      </c>
      <c r="K219" s="15">
        <v>10</v>
      </c>
      <c r="L219" s="16">
        <v>13500</v>
      </c>
      <c r="M219" s="16">
        <v>10758.76</v>
      </c>
      <c r="N219" s="9">
        <v>2741.24</v>
      </c>
      <c r="O219" s="9" t="s">
        <v>28</v>
      </c>
      <c r="P219" s="17">
        <v>46015</v>
      </c>
    </row>
    <row r="220" spans="1:16" ht="15.6" x14ac:dyDescent="0.3">
      <c r="A220" s="4" t="s">
        <v>274</v>
      </c>
      <c r="B220" s="5">
        <f t="shared" si="3"/>
        <v>45822</v>
      </c>
      <c r="C220" s="6" t="s">
        <v>15</v>
      </c>
      <c r="D220" s="6" t="s">
        <v>55</v>
      </c>
      <c r="E220" s="6" t="s">
        <v>59</v>
      </c>
      <c r="F220" s="6" t="s">
        <v>51</v>
      </c>
      <c r="G220" s="6" t="s">
        <v>19</v>
      </c>
      <c r="H220" s="6" t="s">
        <v>20</v>
      </c>
      <c r="I220" s="6">
        <v>2</v>
      </c>
      <c r="J220" s="6">
        <v>12000</v>
      </c>
      <c r="K220" s="12">
        <v>5</v>
      </c>
      <c r="L220" s="13">
        <v>22800</v>
      </c>
      <c r="M220" s="13">
        <v>16526.29</v>
      </c>
      <c r="N220" s="6">
        <v>6273.71</v>
      </c>
      <c r="O220" s="6" t="s">
        <v>33</v>
      </c>
      <c r="P220" s="14">
        <v>45822</v>
      </c>
    </row>
    <row r="221" spans="1:16" ht="15.6" x14ac:dyDescent="0.3">
      <c r="A221" s="7" t="s">
        <v>275</v>
      </c>
      <c r="B221" s="8">
        <f t="shared" si="3"/>
        <v>45866</v>
      </c>
      <c r="C221" s="9" t="s">
        <v>15</v>
      </c>
      <c r="D221" s="9" t="s">
        <v>16</v>
      </c>
      <c r="E221" s="9" t="s">
        <v>35</v>
      </c>
      <c r="F221" s="9" t="s">
        <v>18</v>
      </c>
      <c r="G221" s="9" t="s">
        <v>19</v>
      </c>
      <c r="H221" s="9" t="s">
        <v>20</v>
      </c>
      <c r="I221" s="9">
        <v>10</v>
      </c>
      <c r="J221" s="9">
        <v>12000</v>
      </c>
      <c r="K221" s="15">
        <v>5</v>
      </c>
      <c r="L221" s="16">
        <v>114000</v>
      </c>
      <c r="M221" s="16">
        <v>90350.69</v>
      </c>
      <c r="N221" s="9">
        <v>23649.31</v>
      </c>
      <c r="O221" s="9" t="s">
        <v>28</v>
      </c>
      <c r="P221" s="17">
        <v>45866</v>
      </c>
    </row>
    <row r="222" spans="1:16" ht="15.6" x14ac:dyDescent="0.3">
      <c r="A222" s="4" t="s">
        <v>276</v>
      </c>
      <c r="B222" s="5">
        <f t="shared" si="3"/>
        <v>45708</v>
      </c>
      <c r="C222" s="6" t="s">
        <v>40</v>
      </c>
      <c r="D222" s="6" t="s">
        <v>41</v>
      </c>
      <c r="E222" s="6" t="s">
        <v>17</v>
      </c>
      <c r="F222" s="6" t="s">
        <v>62</v>
      </c>
      <c r="G222" s="6" t="s">
        <v>19</v>
      </c>
      <c r="H222" s="6" t="s">
        <v>20</v>
      </c>
      <c r="I222" s="6">
        <v>6</v>
      </c>
      <c r="J222" s="6">
        <v>12000</v>
      </c>
      <c r="K222" s="12">
        <v>10</v>
      </c>
      <c r="L222" s="13">
        <v>64800</v>
      </c>
      <c r="M222" s="13">
        <v>48988.93</v>
      </c>
      <c r="N222" s="6">
        <v>15811.07</v>
      </c>
      <c r="O222" s="6" t="s">
        <v>28</v>
      </c>
      <c r="P222" s="14">
        <v>45708</v>
      </c>
    </row>
    <row r="223" spans="1:16" ht="15.6" x14ac:dyDescent="0.3">
      <c r="A223" s="7" t="s">
        <v>277</v>
      </c>
      <c r="B223" s="8">
        <f t="shared" si="3"/>
        <v>45863</v>
      </c>
      <c r="C223" s="9" t="s">
        <v>30</v>
      </c>
      <c r="D223" s="9" t="s">
        <v>31</v>
      </c>
      <c r="E223" s="9" t="s">
        <v>59</v>
      </c>
      <c r="F223" s="9" t="s">
        <v>42</v>
      </c>
      <c r="G223" s="9" t="s">
        <v>19</v>
      </c>
      <c r="H223" s="9" t="s">
        <v>43</v>
      </c>
      <c r="I223" s="9">
        <v>7</v>
      </c>
      <c r="J223" s="9">
        <v>55000</v>
      </c>
      <c r="K223" s="15">
        <v>0</v>
      </c>
      <c r="L223" s="16">
        <v>385000</v>
      </c>
      <c r="M223" s="16">
        <v>336331.91</v>
      </c>
      <c r="N223" s="9">
        <v>48668.09</v>
      </c>
      <c r="O223" s="9" t="s">
        <v>44</v>
      </c>
      <c r="P223" s="17">
        <v>45863</v>
      </c>
    </row>
    <row r="224" spans="1:16" ht="15.6" x14ac:dyDescent="0.3">
      <c r="A224" s="4" t="s">
        <v>278</v>
      </c>
      <c r="B224" s="5">
        <f t="shared" si="3"/>
        <v>45799</v>
      </c>
      <c r="C224" s="6" t="s">
        <v>30</v>
      </c>
      <c r="D224" s="6" t="s">
        <v>31</v>
      </c>
      <c r="E224" s="6" t="s">
        <v>59</v>
      </c>
      <c r="F224" s="6" t="s">
        <v>51</v>
      </c>
      <c r="G224" s="6" t="s">
        <v>19</v>
      </c>
      <c r="H224" s="6" t="s">
        <v>43</v>
      </c>
      <c r="I224" s="6">
        <v>7</v>
      </c>
      <c r="J224" s="6">
        <v>55000</v>
      </c>
      <c r="K224" s="12">
        <v>0</v>
      </c>
      <c r="L224" s="13">
        <v>385000</v>
      </c>
      <c r="M224" s="13">
        <v>282499.12</v>
      </c>
      <c r="N224" s="6">
        <v>102500.88</v>
      </c>
      <c r="O224" s="6" t="s">
        <v>33</v>
      </c>
      <c r="P224" s="14">
        <v>45799</v>
      </c>
    </row>
    <row r="225" spans="1:16" ht="15.6" x14ac:dyDescent="0.3">
      <c r="A225" s="7" t="s">
        <v>279</v>
      </c>
      <c r="B225" s="8">
        <f t="shared" si="3"/>
        <v>46000</v>
      </c>
      <c r="C225" s="9" t="s">
        <v>23</v>
      </c>
      <c r="D225" s="9" t="s">
        <v>90</v>
      </c>
      <c r="E225" s="9" t="s">
        <v>48</v>
      </c>
      <c r="F225" s="9" t="s">
        <v>65</v>
      </c>
      <c r="G225" s="9" t="s">
        <v>37</v>
      </c>
      <c r="H225" s="9" t="s">
        <v>56</v>
      </c>
      <c r="I225" s="9">
        <v>7</v>
      </c>
      <c r="J225" s="9">
        <v>2500</v>
      </c>
      <c r="K225" s="15">
        <v>15</v>
      </c>
      <c r="L225" s="16">
        <v>14875</v>
      </c>
      <c r="M225" s="16">
        <v>11565.6</v>
      </c>
      <c r="N225" s="9">
        <v>3309.4</v>
      </c>
      <c r="O225" s="9" t="s">
        <v>33</v>
      </c>
      <c r="P225" s="17">
        <v>46000</v>
      </c>
    </row>
    <row r="226" spans="1:16" ht="15.6" x14ac:dyDescent="0.3">
      <c r="A226" s="4" t="s">
        <v>280</v>
      </c>
      <c r="B226" s="5">
        <f t="shared" si="3"/>
        <v>45772</v>
      </c>
      <c r="C226" s="6" t="s">
        <v>23</v>
      </c>
      <c r="D226" s="6" t="s">
        <v>90</v>
      </c>
      <c r="E226" s="6" t="s">
        <v>17</v>
      </c>
      <c r="F226" s="6" t="s">
        <v>65</v>
      </c>
      <c r="G226" s="6" t="s">
        <v>37</v>
      </c>
      <c r="H226" s="6" t="s">
        <v>56</v>
      </c>
      <c r="I226" s="6">
        <v>3</v>
      </c>
      <c r="J226" s="6">
        <v>2500</v>
      </c>
      <c r="K226" s="12">
        <v>5</v>
      </c>
      <c r="L226" s="13">
        <v>7125</v>
      </c>
      <c r="M226" s="13">
        <v>5217.5600000000004</v>
      </c>
      <c r="N226" s="6">
        <v>1907.44</v>
      </c>
      <c r="O226" s="6" t="s">
        <v>44</v>
      </c>
      <c r="P226" s="14">
        <v>45772</v>
      </c>
    </row>
    <row r="227" spans="1:16" ht="15.6" x14ac:dyDescent="0.3">
      <c r="A227" s="7" t="s">
        <v>281</v>
      </c>
      <c r="B227" s="8">
        <f t="shared" si="3"/>
        <v>45711</v>
      </c>
      <c r="C227" s="9" t="s">
        <v>40</v>
      </c>
      <c r="D227" s="9" t="s">
        <v>61</v>
      </c>
      <c r="E227" s="9" t="s">
        <v>25</v>
      </c>
      <c r="F227" s="9" t="s">
        <v>36</v>
      </c>
      <c r="G227" s="9" t="s">
        <v>26</v>
      </c>
      <c r="H227" s="9" t="s">
        <v>70</v>
      </c>
      <c r="I227" s="9">
        <v>9</v>
      </c>
      <c r="J227" s="9">
        <v>10000</v>
      </c>
      <c r="K227" s="15">
        <v>5</v>
      </c>
      <c r="L227" s="16">
        <v>85500</v>
      </c>
      <c r="M227" s="16">
        <v>58305.57</v>
      </c>
      <c r="N227" s="9">
        <v>27194.43</v>
      </c>
      <c r="O227" s="9" t="s">
        <v>33</v>
      </c>
      <c r="P227" s="17">
        <v>45711</v>
      </c>
    </row>
    <row r="228" spans="1:16" ht="15.6" x14ac:dyDescent="0.3">
      <c r="A228" s="4" t="s">
        <v>282</v>
      </c>
      <c r="B228" s="5">
        <f t="shared" si="3"/>
        <v>45686</v>
      </c>
      <c r="C228" s="6" t="s">
        <v>23</v>
      </c>
      <c r="D228" s="6" t="s">
        <v>90</v>
      </c>
      <c r="E228" s="6" t="s">
        <v>35</v>
      </c>
      <c r="F228" s="6" t="s">
        <v>62</v>
      </c>
      <c r="G228" s="6" t="s">
        <v>19</v>
      </c>
      <c r="H228" s="6" t="s">
        <v>52</v>
      </c>
      <c r="I228" s="6">
        <v>2</v>
      </c>
      <c r="J228" s="6">
        <v>1500</v>
      </c>
      <c r="K228" s="12">
        <v>0</v>
      </c>
      <c r="L228" s="13">
        <v>3000</v>
      </c>
      <c r="M228" s="13">
        <v>2076.4899999999998</v>
      </c>
      <c r="N228" s="6">
        <v>923.51</v>
      </c>
      <c r="O228" s="6" t="s">
        <v>44</v>
      </c>
      <c r="P228" s="14">
        <v>45686</v>
      </c>
    </row>
    <row r="229" spans="1:16" ht="15.6" x14ac:dyDescent="0.3">
      <c r="A229" s="7" t="s">
        <v>283</v>
      </c>
      <c r="B229" s="8">
        <f t="shared" si="3"/>
        <v>45829</v>
      </c>
      <c r="C229" s="9" t="s">
        <v>15</v>
      </c>
      <c r="D229" s="9" t="s">
        <v>55</v>
      </c>
      <c r="E229" s="9" t="s">
        <v>35</v>
      </c>
      <c r="F229" s="9" t="s">
        <v>18</v>
      </c>
      <c r="G229" s="9" t="s">
        <v>19</v>
      </c>
      <c r="H229" s="9" t="s">
        <v>52</v>
      </c>
      <c r="I229" s="9">
        <v>4</v>
      </c>
      <c r="J229" s="9">
        <v>1500</v>
      </c>
      <c r="K229" s="15">
        <v>15</v>
      </c>
      <c r="L229" s="16">
        <v>5100</v>
      </c>
      <c r="M229" s="16">
        <v>4231.3100000000004</v>
      </c>
      <c r="N229" s="9">
        <v>868.69</v>
      </c>
      <c r="O229" s="9" t="s">
        <v>33</v>
      </c>
      <c r="P229" s="17">
        <v>45829</v>
      </c>
    </row>
    <row r="230" spans="1:16" ht="15.6" x14ac:dyDescent="0.3">
      <c r="A230" s="4" t="s">
        <v>284</v>
      </c>
      <c r="B230" s="5">
        <f t="shared" si="3"/>
        <v>45710</v>
      </c>
      <c r="C230" s="6" t="s">
        <v>23</v>
      </c>
      <c r="D230" s="6" t="s">
        <v>24</v>
      </c>
      <c r="E230" s="6" t="s">
        <v>17</v>
      </c>
      <c r="F230" s="6" t="s">
        <v>65</v>
      </c>
      <c r="G230" s="6" t="s">
        <v>26</v>
      </c>
      <c r="H230" s="6" t="s">
        <v>70</v>
      </c>
      <c r="I230" s="6">
        <v>4</v>
      </c>
      <c r="J230" s="6">
        <v>10000</v>
      </c>
      <c r="K230" s="12">
        <v>0</v>
      </c>
      <c r="L230" s="13">
        <v>40000</v>
      </c>
      <c r="M230" s="13">
        <v>29309.73</v>
      </c>
      <c r="N230" s="6">
        <v>10690.27</v>
      </c>
      <c r="O230" s="6" t="s">
        <v>28</v>
      </c>
      <c r="P230" s="14">
        <v>45710</v>
      </c>
    </row>
    <row r="231" spans="1:16" ht="15.6" x14ac:dyDescent="0.3">
      <c r="A231" s="7" t="s">
        <v>285</v>
      </c>
      <c r="B231" s="8">
        <f t="shared" si="3"/>
        <v>45996</v>
      </c>
      <c r="C231" s="9" t="s">
        <v>30</v>
      </c>
      <c r="D231" s="9" t="s">
        <v>31</v>
      </c>
      <c r="E231" s="9" t="s">
        <v>35</v>
      </c>
      <c r="F231" s="9" t="s">
        <v>36</v>
      </c>
      <c r="G231" s="9" t="s">
        <v>26</v>
      </c>
      <c r="H231" s="9" t="s">
        <v>70</v>
      </c>
      <c r="I231" s="9">
        <v>8</v>
      </c>
      <c r="J231" s="9">
        <v>10000</v>
      </c>
      <c r="K231" s="15">
        <v>15</v>
      </c>
      <c r="L231" s="16">
        <v>68000</v>
      </c>
      <c r="M231" s="16">
        <v>52196.07</v>
      </c>
      <c r="N231" s="9">
        <v>15803.93</v>
      </c>
      <c r="O231" s="9" t="s">
        <v>44</v>
      </c>
      <c r="P231" s="17">
        <v>45996</v>
      </c>
    </row>
    <row r="232" spans="1:16" ht="15.6" x14ac:dyDescent="0.3">
      <c r="A232" s="4" t="s">
        <v>286</v>
      </c>
      <c r="B232" s="5">
        <f t="shared" si="3"/>
        <v>45696</v>
      </c>
      <c r="C232" s="6" t="s">
        <v>23</v>
      </c>
      <c r="D232" s="6" t="s">
        <v>90</v>
      </c>
      <c r="E232" s="6" t="s">
        <v>32</v>
      </c>
      <c r="F232" s="6" t="s">
        <v>62</v>
      </c>
      <c r="G232" s="6" t="s">
        <v>37</v>
      </c>
      <c r="H232" s="6" t="s">
        <v>38</v>
      </c>
      <c r="I232" s="6">
        <v>4</v>
      </c>
      <c r="J232" s="6">
        <v>900</v>
      </c>
      <c r="K232" s="12">
        <v>0</v>
      </c>
      <c r="L232" s="13">
        <v>3600</v>
      </c>
      <c r="M232" s="13">
        <v>2372.5700000000002</v>
      </c>
      <c r="N232" s="6">
        <v>1227.43</v>
      </c>
      <c r="O232" s="6" t="s">
        <v>33</v>
      </c>
      <c r="P232" s="14">
        <v>45696</v>
      </c>
    </row>
    <row r="233" spans="1:16" ht="15.6" x14ac:dyDescent="0.3">
      <c r="A233" s="7" t="s">
        <v>287</v>
      </c>
      <c r="B233" s="8">
        <f t="shared" si="3"/>
        <v>45765</v>
      </c>
      <c r="C233" s="9" t="s">
        <v>30</v>
      </c>
      <c r="D233" s="9" t="s">
        <v>31</v>
      </c>
      <c r="E233" s="9" t="s">
        <v>17</v>
      </c>
      <c r="F233" s="9" t="s">
        <v>65</v>
      </c>
      <c r="G233" s="9" t="s">
        <v>26</v>
      </c>
      <c r="H233" s="9" t="s">
        <v>70</v>
      </c>
      <c r="I233" s="9">
        <v>1</v>
      </c>
      <c r="J233" s="9">
        <v>10000</v>
      </c>
      <c r="K233" s="15">
        <v>0</v>
      </c>
      <c r="L233" s="16">
        <v>10000</v>
      </c>
      <c r="M233" s="16">
        <v>6772.06</v>
      </c>
      <c r="N233" s="9">
        <v>3227.94</v>
      </c>
      <c r="O233" s="9" t="s">
        <v>33</v>
      </c>
      <c r="P233" s="17">
        <v>45765</v>
      </c>
    </row>
    <row r="234" spans="1:16" ht="15.6" x14ac:dyDescent="0.3">
      <c r="A234" s="4" t="s">
        <v>288</v>
      </c>
      <c r="B234" s="5">
        <f t="shared" si="3"/>
        <v>45697</v>
      </c>
      <c r="C234" s="6" t="s">
        <v>40</v>
      </c>
      <c r="D234" s="6" t="s">
        <v>41</v>
      </c>
      <c r="E234" s="6" t="s">
        <v>25</v>
      </c>
      <c r="F234" s="6" t="s">
        <v>42</v>
      </c>
      <c r="G234" s="6" t="s">
        <v>19</v>
      </c>
      <c r="H234" s="6" t="s">
        <v>20</v>
      </c>
      <c r="I234" s="6">
        <v>3</v>
      </c>
      <c r="J234" s="6">
        <v>12000</v>
      </c>
      <c r="K234" s="12">
        <v>5</v>
      </c>
      <c r="L234" s="13">
        <v>34200</v>
      </c>
      <c r="M234" s="13">
        <v>25733.65</v>
      </c>
      <c r="N234" s="6">
        <v>8466.35</v>
      </c>
      <c r="O234" s="6" t="s">
        <v>33</v>
      </c>
      <c r="P234" s="14">
        <v>45697</v>
      </c>
    </row>
    <row r="235" spans="1:16" ht="15.6" x14ac:dyDescent="0.3">
      <c r="A235" s="7" t="s">
        <v>289</v>
      </c>
      <c r="B235" s="8">
        <f t="shared" si="3"/>
        <v>45819</v>
      </c>
      <c r="C235" s="9" t="s">
        <v>15</v>
      </c>
      <c r="D235" s="9" t="s">
        <v>16</v>
      </c>
      <c r="E235" s="9" t="s">
        <v>25</v>
      </c>
      <c r="F235" s="9" t="s">
        <v>51</v>
      </c>
      <c r="G235" s="9" t="s">
        <v>19</v>
      </c>
      <c r="H235" s="9" t="s">
        <v>20</v>
      </c>
      <c r="I235" s="9">
        <v>10</v>
      </c>
      <c r="J235" s="9">
        <v>12000</v>
      </c>
      <c r="K235" s="15">
        <v>15</v>
      </c>
      <c r="L235" s="16">
        <v>102000</v>
      </c>
      <c r="M235" s="16">
        <v>85807.19</v>
      </c>
      <c r="N235" s="9">
        <v>16192.81</v>
      </c>
      <c r="O235" s="9" t="s">
        <v>21</v>
      </c>
      <c r="P235" s="17">
        <v>45819</v>
      </c>
    </row>
    <row r="236" spans="1:16" ht="15.6" x14ac:dyDescent="0.3">
      <c r="A236" s="4" t="s">
        <v>290</v>
      </c>
      <c r="B236" s="5">
        <f t="shared" si="3"/>
        <v>45687</v>
      </c>
      <c r="C236" s="6" t="s">
        <v>40</v>
      </c>
      <c r="D236" s="6" t="s">
        <v>41</v>
      </c>
      <c r="E236" s="6" t="s">
        <v>59</v>
      </c>
      <c r="F236" s="6" t="s">
        <v>18</v>
      </c>
      <c r="G236" s="6" t="s">
        <v>37</v>
      </c>
      <c r="H236" s="6" t="s">
        <v>56</v>
      </c>
      <c r="I236" s="6">
        <v>4</v>
      </c>
      <c r="J236" s="6">
        <v>2500</v>
      </c>
      <c r="K236" s="12">
        <v>0</v>
      </c>
      <c r="L236" s="13">
        <v>10000</v>
      </c>
      <c r="M236" s="13">
        <v>7571.84</v>
      </c>
      <c r="N236" s="6">
        <v>2428.16</v>
      </c>
      <c r="O236" s="6" t="s">
        <v>21</v>
      </c>
      <c r="P236" s="14">
        <v>45687</v>
      </c>
    </row>
    <row r="237" spans="1:16" ht="15.6" x14ac:dyDescent="0.3">
      <c r="A237" s="7" t="s">
        <v>291</v>
      </c>
      <c r="B237" s="8">
        <f t="shared" si="3"/>
        <v>45964</v>
      </c>
      <c r="C237" s="9" t="s">
        <v>23</v>
      </c>
      <c r="D237" s="9" t="s">
        <v>58</v>
      </c>
      <c r="E237" s="9" t="s">
        <v>25</v>
      </c>
      <c r="F237" s="9" t="s">
        <v>62</v>
      </c>
      <c r="G237" s="9" t="s">
        <v>19</v>
      </c>
      <c r="H237" s="9" t="s">
        <v>43</v>
      </c>
      <c r="I237" s="9">
        <v>8</v>
      </c>
      <c r="J237" s="9">
        <v>55000</v>
      </c>
      <c r="K237" s="15">
        <v>5</v>
      </c>
      <c r="L237" s="16">
        <v>418000</v>
      </c>
      <c r="M237" s="16">
        <v>357589.37</v>
      </c>
      <c r="N237" s="9">
        <v>60410.63</v>
      </c>
      <c r="O237" s="9" t="s">
        <v>28</v>
      </c>
      <c r="P237" s="17">
        <v>45964</v>
      </c>
    </row>
    <row r="238" spans="1:16" ht="15.6" x14ac:dyDescent="0.3">
      <c r="A238" s="4" t="s">
        <v>292</v>
      </c>
      <c r="B238" s="5">
        <f t="shared" si="3"/>
        <v>45718</v>
      </c>
      <c r="C238" s="6" t="s">
        <v>40</v>
      </c>
      <c r="D238" s="6" t="s">
        <v>41</v>
      </c>
      <c r="E238" s="6" t="s">
        <v>59</v>
      </c>
      <c r="F238" s="6" t="s">
        <v>62</v>
      </c>
      <c r="G238" s="6" t="s">
        <v>37</v>
      </c>
      <c r="H238" s="6" t="s">
        <v>72</v>
      </c>
      <c r="I238" s="6">
        <v>3</v>
      </c>
      <c r="J238" s="6">
        <v>800</v>
      </c>
      <c r="K238" s="12">
        <v>15</v>
      </c>
      <c r="L238" s="13">
        <v>2040</v>
      </c>
      <c r="M238" s="13">
        <v>1588.68</v>
      </c>
      <c r="N238" s="6">
        <v>451.32</v>
      </c>
      <c r="O238" s="6" t="s">
        <v>44</v>
      </c>
      <c r="P238" s="14">
        <v>45718</v>
      </c>
    </row>
    <row r="239" spans="1:16" ht="15.6" x14ac:dyDescent="0.3">
      <c r="A239" s="7" t="s">
        <v>293</v>
      </c>
      <c r="B239" s="8">
        <f t="shared" si="3"/>
        <v>45873</v>
      </c>
      <c r="C239" s="9" t="s">
        <v>23</v>
      </c>
      <c r="D239" s="9" t="s">
        <v>90</v>
      </c>
      <c r="E239" s="9" t="s">
        <v>25</v>
      </c>
      <c r="F239" s="9" t="s">
        <v>65</v>
      </c>
      <c r="G239" s="9" t="s">
        <v>37</v>
      </c>
      <c r="H239" s="9" t="s">
        <v>38</v>
      </c>
      <c r="I239" s="9">
        <v>4</v>
      </c>
      <c r="J239" s="9">
        <v>900</v>
      </c>
      <c r="K239" s="15">
        <v>10</v>
      </c>
      <c r="L239" s="16">
        <v>3240</v>
      </c>
      <c r="M239" s="16">
        <v>2473.83</v>
      </c>
      <c r="N239" s="9">
        <v>766.17</v>
      </c>
      <c r="O239" s="9" t="s">
        <v>44</v>
      </c>
      <c r="P239" s="17">
        <v>45873</v>
      </c>
    </row>
    <row r="240" spans="1:16" ht="15.6" x14ac:dyDescent="0.3">
      <c r="A240" s="4" t="s">
        <v>294</v>
      </c>
      <c r="B240" s="5">
        <f t="shared" si="3"/>
        <v>45669</v>
      </c>
      <c r="C240" s="6" t="s">
        <v>30</v>
      </c>
      <c r="D240" s="6" t="s">
        <v>50</v>
      </c>
      <c r="E240" s="6" t="s">
        <v>25</v>
      </c>
      <c r="F240" s="6" t="s">
        <v>18</v>
      </c>
      <c r="G240" s="6" t="s">
        <v>37</v>
      </c>
      <c r="H240" s="6" t="s">
        <v>38</v>
      </c>
      <c r="I240" s="6">
        <v>10</v>
      </c>
      <c r="J240" s="6">
        <v>900</v>
      </c>
      <c r="K240" s="12">
        <v>15</v>
      </c>
      <c r="L240" s="13">
        <v>7650</v>
      </c>
      <c r="M240" s="13">
        <v>5372.48</v>
      </c>
      <c r="N240" s="6">
        <v>2277.52</v>
      </c>
      <c r="O240" s="6" t="s">
        <v>44</v>
      </c>
      <c r="P240" s="14">
        <v>45669</v>
      </c>
    </row>
    <row r="241" spans="1:16" ht="15.6" x14ac:dyDescent="0.3">
      <c r="A241" s="7" t="s">
        <v>295</v>
      </c>
      <c r="B241" s="8">
        <f t="shared" si="3"/>
        <v>45743</v>
      </c>
      <c r="C241" s="9" t="s">
        <v>15</v>
      </c>
      <c r="D241" s="9" t="s">
        <v>16</v>
      </c>
      <c r="E241" s="9" t="s">
        <v>35</v>
      </c>
      <c r="F241" s="9" t="s">
        <v>62</v>
      </c>
      <c r="G241" s="9" t="s">
        <v>26</v>
      </c>
      <c r="H241" s="9" t="s">
        <v>70</v>
      </c>
      <c r="I241" s="9">
        <v>10</v>
      </c>
      <c r="J241" s="9">
        <v>10000</v>
      </c>
      <c r="K241" s="15">
        <v>5</v>
      </c>
      <c r="L241" s="16">
        <v>95000</v>
      </c>
      <c r="M241" s="16">
        <v>70972</v>
      </c>
      <c r="N241" s="9">
        <v>24028</v>
      </c>
      <c r="O241" s="9" t="s">
        <v>21</v>
      </c>
      <c r="P241" s="17">
        <v>45743</v>
      </c>
    </row>
    <row r="242" spans="1:16" ht="15.6" x14ac:dyDescent="0.3">
      <c r="A242" s="4" t="s">
        <v>296</v>
      </c>
      <c r="B242" s="5">
        <f t="shared" si="3"/>
        <v>46018</v>
      </c>
      <c r="C242" s="6" t="s">
        <v>30</v>
      </c>
      <c r="D242" s="6" t="s">
        <v>50</v>
      </c>
      <c r="E242" s="6" t="s">
        <v>32</v>
      </c>
      <c r="F242" s="6" t="s">
        <v>62</v>
      </c>
      <c r="G242" s="6" t="s">
        <v>26</v>
      </c>
      <c r="H242" s="6" t="s">
        <v>27</v>
      </c>
      <c r="I242" s="6">
        <v>6</v>
      </c>
      <c r="J242" s="6">
        <v>6000</v>
      </c>
      <c r="K242" s="12">
        <v>5</v>
      </c>
      <c r="L242" s="13">
        <v>34200</v>
      </c>
      <c r="M242" s="13">
        <v>24129.4</v>
      </c>
      <c r="N242" s="6">
        <v>10070.6</v>
      </c>
      <c r="O242" s="6" t="s">
        <v>44</v>
      </c>
      <c r="P242" s="14">
        <v>46018</v>
      </c>
    </row>
    <row r="243" spans="1:16" ht="15.6" x14ac:dyDescent="0.3">
      <c r="A243" s="7" t="s">
        <v>297</v>
      </c>
      <c r="B243" s="8">
        <f t="shared" si="3"/>
        <v>45854</v>
      </c>
      <c r="C243" s="9" t="s">
        <v>30</v>
      </c>
      <c r="D243" s="9" t="s">
        <v>50</v>
      </c>
      <c r="E243" s="9" t="s">
        <v>32</v>
      </c>
      <c r="F243" s="9" t="s">
        <v>36</v>
      </c>
      <c r="G243" s="9" t="s">
        <v>37</v>
      </c>
      <c r="H243" s="9" t="s">
        <v>56</v>
      </c>
      <c r="I243" s="9">
        <v>8</v>
      </c>
      <c r="J243" s="9">
        <v>2500</v>
      </c>
      <c r="K243" s="15">
        <v>10</v>
      </c>
      <c r="L243" s="16">
        <v>18000</v>
      </c>
      <c r="M243" s="16">
        <v>15146</v>
      </c>
      <c r="N243" s="9">
        <v>2854</v>
      </c>
      <c r="O243" s="9" t="s">
        <v>33</v>
      </c>
      <c r="P243" s="17">
        <v>45854</v>
      </c>
    </row>
    <row r="244" spans="1:16" ht="15.6" x14ac:dyDescent="0.3">
      <c r="A244" s="4" t="s">
        <v>298</v>
      </c>
      <c r="B244" s="5">
        <f t="shared" si="3"/>
        <v>46014</v>
      </c>
      <c r="C244" s="6" t="s">
        <v>30</v>
      </c>
      <c r="D244" s="6" t="s">
        <v>31</v>
      </c>
      <c r="E244" s="6" t="s">
        <v>25</v>
      </c>
      <c r="F244" s="6" t="s">
        <v>65</v>
      </c>
      <c r="G244" s="6" t="s">
        <v>26</v>
      </c>
      <c r="H244" s="6" t="s">
        <v>70</v>
      </c>
      <c r="I244" s="6">
        <v>10</v>
      </c>
      <c r="J244" s="6">
        <v>10000</v>
      </c>
      <c r="K244" s="12">
        <v>15</v>
      </c>
      <c r="L244" s="13">
        <v>85000</v>
      </c>
      <c r="M244" s="13">
        <v>72913.69</v>
      </c>
      <c r="N244" s="6">
        <v>12086.31</v>
      </c>
      <c r="O244" s="6" t="s">
        <v>21</v>
      </c>
      <c r="P244" s="14">
        <v>46014</v>
      </c>
    </row>
    <row r="245" spans="1:16" ht="15.6" x14ac:dyDescent="0.3">
      <c r="A245" s="7" t="s">
        <v>299</v>
      </c>
      <c r="B245" s="8">
        <f t="shared" si="3"/>
        <v>45802</v>
      </c>
      <c r="C245" s="9" t="s">
        <v>30</v>
      </c>
      <c r="D245" s="9" t="s">
        <v>31</v>
      </c>
      <c r="E245" s="9" t="s">
        <v>59</v>
      </c>
      <c r="F245" s="9" t="s">
        <v>36</v>
      </c>
      <c r="G245" s="9" t="s">
        <v>26</v>
      </c>
      <c r="H245" s="9" t="s">
        <v>27</v>
      </c>
      <c r="I245" s="9">
        <v>8</v>
      </c>
      <c r="J245" s="9">
        <v>6000</v>
      </c>
      <c r="K245" s="15">
        <v>15</v>
      </c>
      <c r="L245" s="16">
        <v>40800</v>
      </c>
      <c r="M245" s="16">
        <v>36122.050000000003</v>
      </c>
      <c r="N245" s="9">
        <v>4677.95</v>
      </c>
      <c r="O245" s="9" t="s">
        <v>21</v>
      </c>
      <c r="P245" s="17">
        <v>45802</v>
      </c>
    </row>
    <row r="246" spans="1:16" ht="15.6" x14ac:dyDescent="0.3">
      <c r="A246" s="4" t="s">
        <v>300</v>
      </c>
      <c r="B246" s="5">
        <f t="shared" si="3"/>
        <v>45770</v>
      </c>
      <c r="C246" s="6" t="s">
        <v>30</v>
      </c>
      <c r="D246" s="6" t="s">
        <v>50</v>
      </c>
      <c r="E246" s="6" t="s">
        <v>59</v>
      </c>
      <c r="F246" s="6" t="s">
        <v>42</v>
      </c>
      <c r="G246" s="6" t="s">
        <v>19</v>
      </c>
      <c r="H246" s="6" t="s">
        <v>20</v>
      </c>
      <c r="I246" s="6">
        <v>3</v>
      </c>
      <c r="J246" s="6">
        <v>12000</v>
      </c>
      <c r="K246" s="12">
        <v>0</v>
      </c>
      <c r="L246" s="13">
        <v>36000</v>
      </c>
      <c r="M246" s="13">
        <v>24960.43</v>
      </c>
      <c r="N246" s="6">
        <v>11039.57</v>
      </c>
      <c r="O246" s="6" t="s">
        <v>21</v>
      </c>
      <c r="P246" s="14">
        <v>45770</v>
      </c>
    </row>
    <row r="247" spans="1:16" ht="15.6" x14ac:dyDescent="0.3">
      <c r="A247" s="7" t="s">
        <v>301</v>
      </c>
      <c r="B247" s="8">
        <f t="shared" si="3"/>
        <v>45728</v>
      </c>
      <c r="C247" s="9" t="s">
        <v>40</v>
      </c>
      <c r="D247" s="9" t="s">
        <v>41</v>
      </c>
      <c r="E247" s="9" t="s">
        <v>35</v>
      </c>
      <c r="F247" s="9" t="s">
        <v>62</v>
      </c>
      <c r="G247" s="9" t="s">
        <v>19</v>
      </c>
      <c r="H247" s="9" t="s">
        <v>43</v>
      </c>
      <c r="I247" s="9">
        <v>1</v>
      </c>
      <c r="J247" s="9">
        <v>55000</v>
      </c>
      <c r="K247" s="15">
        <v>0</v>
      </c>
      <c r="L247" s="16">
        <v>55000</v>
      </c>
      <c r="M247" s="16">
        <v>36319.53</v>
      </c>
      <c r="N247" s="9">
        <v>18680.47</v>
      </c>
      <c r="O247" s="9" t="s">
        <v>28</v>
      </c>
      <c r="P247" s="17">
        <v>45728</v>
      </c>
    </row>
    <row r="248" spans="1:16" ht="15.6" x14ac:dyDescent="0.3">
      <c r="A248" s="4" t="s">
        <v>302</v>
      </c>
      <c r="B248" s="5">
        <f t="shared" si="3"/>
        <v>45989</v>
      </c>
      <c r="C248" s="6" t="s">
        <v>40</v>
      </c>
      <c r="D248" s="6" t="s">
        <v>61</v>
      </c>
      <c r="E248" s="6" t="s">
        <v>59</v>
      </c>
      <c r="F248" s="6" t="s">
        <v>65</v>
      </c>
      <c r="G248" s="6" t="s">
        <v>19</v>
      </c>
      <c r="H248" s="6" t="s">
        <v>43</v>
      </c>
      <c r="I248" s="6">
        <v>6</v>
      </c>
      <c r="J248" s="6">
        <v>55000</v>
      </c>
      <c r="K248" s="12">
        <v>0</v>
      </c>
      <c r="L248" s="13">
        <v>330000</v>
      </c>
      <c r="M248" s="13">
        <v>224855.47</v>
      </c>
      <c r="N248" s="6">
        <v>105144.53</v>
      </c>
      <c r="O248" s="6" t="s">
        <v>28</v>
      </c>
      <c r="P248" s="14">
        <v>45989</v>
      </c>
    </row>
    <row r="249" spans="1:16" ht="15.6" x14ac:dyDescent="0.3">
      <c r="A249" s="7" t="s">
        <v>303</v>
      </c>
      <c r="B249" s="8">
        <f t="shared" si="3"/>
        <v>45936</v>
      </c>
      <c r="C249" s="9" t="s">
        <v>30</v>
      </c>
      <c r="D249" s="9" t="s">
        <v>50</v>
      </c>
      <c r="E249" s="9" t="s">
        <v>25</v>
      </c>
      <c r="F249" s="9" t="s">
        <v>51</v>
      </c>
      <c r="G249" s="9" t="s">
        <v>26</v>
      </c>
      <c r="H249" s="9" t="s">
        <v>27</v>
      </c>
      <c r="I249" s="9">
        <v>2</v>
      </c>
      <c r="J249" s="9">
        <v>6000</v>
      </c>
      <c r="K249" s="15">
        <v>5</v>
      </c>
      <c r="L249" s="16">
        <v>11400</v>
      </c>
      <c r="M249" s="16">
        <v>7587.73</v>
      </c>
      <c r="N249" s="9">
        <v>3812.27</v>
      </c>
      <c r="O249" s="9" t="s">
        <v>33</v>
      </c>
      <c r="P249" s="17">
        <v>45936</v>
      </c>
    </row>
    <row r="250" spans="1:16" ht="15.6" x14ac:dyDescent="0.3">
      <c r="A250" s="4" t="s">
        <v>304</v>
      </c>
      <c r="B250" s="5">
        <f t="shared" si="3"/>
        <v>45751</v>
      </c>
      <c r="C250" s="6" t="s">
        <v>40</v>
      </c>
      <c r="D250" s="6" t="s">
        <v>61</v>
      </c>
      <c r="E250" s="6" t="s">
        <v>59</v>
      </c>
      <c r="F250" s="6" t="s">
        <v>42</v>
      </c>
      <c r="G250" s="6" t="s">
        <v>26</v>
      </c>
      <c r="H250" s="6" t="s">
        <v>70</v>
      </c>
      <c r="I250" s="6">
        <v>3</v>
      </c>
      <c r="J250" s="6">
        <v>10000</v>
      </c>
      <c r="K250" s="12">
        <v>0</v>
      </c>
      <c r="L250" s="13">
        <v>30000</v>
      </c>
      <c r="M250" s="13">
        <v>20570.21</v>
      </c>
      <c r="N250" s="6">
        <v>9429.7900000000009</v>
      </c>
      <c r="O250" s="6" t="s">
        <v>44</v>
      </c>
      <c r="P250" s="14">
        <v>45751</v>
      </c>
    </row>
    <row r="251" spans="1:16" ht="15.6" x14ac:dyDescent="0.3">
      <c r="A251" s="7" t="s">
        <v>305</v>
      </c>
      <c r="B251" s="8">
        <f t="shared" si="3"/>
        <v>45791</v>
      </c>
      <c r="C251" s="9" t="s">
        <v>23</v>
      </c>
      <c r="D251" s="9" t="s">
        <v>24</v>
      </c>
      <c r="E251" s="9" t="s">
        <v>59</v>
      </c>
      <c r="F251" s="9" t="s">
        <v>62</v>
      </c>
      <c r="G251" s="9" t="s">
        <v>26</v>
      </c>
      <c r="H251" s="9" t="s">
        <v>70</v>
      </c>
      <c r="I251" s="9">
        <v>1</v>
      </c>
      <c r="J251" s="9">
        <v>10000</v>
      </c>
      <c r="K251" s="15">
        <v>5</v>
      </c>
      <c r="L251" s="16">
        <v>9500</v>
      </c>
      <c r="M251" s="16">
        <v>7011.46</v>
      </c>
      <c r="N251" s="9">
        <v>2488.54</v>
      </c>
      <c r="O251" s="9" t="s">
        <v>21</v>
      </c>
      <c r="P251" s="17">
        <v>45791</v>
      </c>
    </row>
    <row r="252" spans="1:16" ht="15.6" x14ac:dyDescent="0.3">
      <c r="A252" s="4" t="s">
        <v>306</v>
      </c>
      <c r="B252" s="5">
        <f t="shared" si="3"/>
        <v>45808</v>
      </c>
      <c r="C252" s="6" t="s">
        <v>23</v>
      </c>
      <c r="D252" s="6" t="s">
        <v>90</v>
      </c>
      <c r="E252" s="6" t="s">
        <v>35</v>
      </c>
      <c r="F252" s="6" t="s">
        <v>62</v>
      </c>
      <c r="G252" s="6" t="s">
        <v>19</v>
      </c>
      <c r="H252" s="6" t="s">
        <v>20</v>
      </c>
      <c r="I252" s="6">
        <v>2</v>
      </c>
      <c r="J252" s="6">
        <v>12000</v>
      </c>
      <c r="K252" s="12">
        <v>10</v>
      </c>
      <c r="L252" s="13">
        <v>21600</v>
      </c>
      <c r="M252" s="13">
        <v>17812.689999999999</v>
      </c>
      <c r="N252" s="6">
        <v>3787.31</v>
      </c>
      <c r="O252" s="6" t="s">
        <v>44</v>
      </c>
      <c r="P252" s="14">
        <v>45808</v>
      </c>
    </row>
    <row r="253" spans="1:16" ht="15.6" x14ac:dyDescent="0.3">
      <c r="A253" s="7" t="s">
        <v>307</v>
      </c>
      <c r="B253" s="8">
        <f t="shared" si="3"/>
        <v>45805</v>
      </c>
      <c r="C253" s="9" t="s">
        <v>40</v>
      </c>
      <c r="D253" s="9" t="s">
        <v>61</v>
      </c>
      <c r="E253" s="9" t="s">
        <v>32</v>
      </c>
      <c r="F253" s="9" t="s">
        <v>42</v>
      </c>
      <c r="G253" s="9" t="s">
        <v>26</v>
      </c>
      <c r="H253" s="9" t="s">
        <v>27</v>
      </c>
      <c r="I253" s="9">
        <v>8</v>
      </c>
      <c r="J253" s="9">
        <v>6000</v>
      </c>
      <c r="K253" s="15">
        <v>5</v>
      </c>
      <c r="L253" s="16">
        <v>45600</v>
      </c>
      <c r="M253" s="16">
        <v>31213.5</v>
      </c>
      <c r="N253" s="9">
        <v>14386.5</v>
      </c>
      <c r="O253" s="9" t="s">
        <v>21</v>
      </c>
      <c r="P253" s="17">
        <v>45805</v>
      </c>
    </row>
    <row r="254" spans="1:16" ht="15.6" x14ac:dyDescent="0.3">
      <c r="A254" s="4" t="s">
        <v>308</v>
      </c>
      <c r="B254" s="5">
        <f t="shared" si="3"/>
        <v>45838</v>
      </c>
      <c r="C254" s="6" t="s">
        <v>15</v>
      </c>
      <c r="D254" s="6" t="s">
        <v>55</v>
      </c>
      <c r="E254" s="6" t="s">
        <v>48</v>
      </c>
      <c r="F254" s="6" t="s">
        <v>18</v>
      </c>
      <c r="G254" s="6" t="s">
        <v>26</v>
      </c>
      <c r="H254" s="6" t="s">
        <v>27</v>
      </c>
      <c r="I254" s="6">
        <v>6</v>
      </c>
      <c r="J254" s="6">
        <v>6000</v>
      </c>
      <c r="K254" s="12">
        <v>5</v>
      </c>
      <c r="L254" s="13">
        <v>34200</v>
      </c>
      <c r="M254" s="13">
        <v>25729.9</v>
      </c>
      <c r="N254" s="6">
        <v>8470.1</v>
      </c>
      <c r="O254" s="6" t="s">
        <v>33</v>
      </c>
      <c r="P254" s="14">
        <v>45838</v>
      </c>
    </row>
    <row r="255" spans="1:16" ht="15.6" x14ac:dyDescent="0.3">
      <c r="A255" s="7" t="s">
        <v>309</v>
      </c>
      <c r="B255" s="8">
        <f t="shared" si="3"/>
        <v>45731</v>
      </c>
      <c r="C255" s="9" t="s">
        <v>23</v>
      </c>
      <c r="D255" s="9" t="s">
        <v>58</v>
      </c>
      <c r="E255" s="9" t="s">
        <v>48</v>
      </c>
      <c r="F255" s="9" t="s">
        <v>42</v>
      </c>
      <c r="G255" s="9" t="s">
        <v>19</v>
      </c>
      <c r="H255" s="9" t="s">
        <v>20</v>
      </c>
      <c r="I255" s="9">
        <v>5</v>
      </c>
      <c r="J255" s="9">
        <v>12000</v>
      </c>
      <c r="K255" s="15">
        <v>0</v>
      </c>
      <c r="L255" s="16">
        <v>60000</v>
      </c>
      <c r="M255" s="16">
        <v>43259.46</v>
      </c>
      <c r="N255" s="9">
        <v>16740.54</v>
      </c>
      <c r="O255" s="9" t="s">
        <v>28</v>
      </c>
      <c r="P255" s="17">
        <v>45731</v>
      </c>
    </row>
    <row r="256" spans="1:16" ht="15.6" x14ac:dyDescent="0.3">
      <c r="A256" s="4" t="s">
        <v>310</v>
      </c>
      <c r="B256" s="5">
        <f t="shared" si="3"/>
        <v>45691</v>
      </c>
      <c r="C256" s="6" t="s">
        <v>23</v>
      </c>
      <c r="D256" s="6" t="s">
        <v>24</v>
      </c>
      <c r="E256" s="6" t="s">
        <v>32</v>
      </c>
      <c r="F256" s="6" t="s">
        <v>18</v>
      </c>
      <c r="G256" s="6" t="s">
        <v>37</v>
      </c>
      <c r="H256" s="6" t="s">
        <v>72</v>
      </c>
      <c r="I256" s="6">
        <v>9</v>
      </c>
      <c r="J256" s="6">
        <v>800</v>
      </c>
      <c r="K256" s="12">
        <v>0</v>
      </c>
      <c r="L256" s="13">
        <v>7200</v>
      </c>
      <c r="M256" s="13">
        <v>5112.6400000000003</v>
      </c>
      <c r="N256" s="6">
        <v>2087.36</v>
      </c>
      <c r="O256" s="6" t="s">
        <v>33</v>
      </c>
      <c r="P256" s="14">
        <v>45691</v>
      </c>
    </row>
    <row r="257" spans="1:16" ht="15.6" x14ac:dyDescent="0.3">
      <c r="A257" s="7" t="s">
        <v>311</v>
      </c>
      <c r="B257" s="8">
        <f t="shared" si="3"/>
        <v>45770</v>
      </c>
      <c r="C257" s="9" t="s">
        <v>30</v>
      </c>
      <c r="D257" s="9" t="s">
        <v>31</v>
      </c>
      <c r="E257" s="9" t="s">
        <v>25</v>
      </c>
      <c r="F257" s="9" t="s">
        <v>36</v>
      </c>
      <c r="G257" s="9" t="s">
        <v>19</v>
      </c>
      <c r="H257" s="9" t="s">
        <v>52</v>
      </c>
      <c r="I257" s="9">
        <v>2</v>
      </c>
      <c r="J257" s="9">
        <v>1500</v>
      </c>
      <c r="K257" s="15">
        <v>5</v>
      </c>
      <c r="L257" s="16">
        <v>2850</v>
      </c>
      <c r="M257" s="16">
        <v>1942</v>
      </c>
      <c r="N257" s="9">
        <v>908</v>
      </c>
      <c r="O257" s="9" t="s">
        <v>28</v>
      </c>
      <c r="P257" s="17">
        <v>45770</v>
      </c>
    </row>
    <row r="258" spans="1:16" ht="15.6" x14ac:dyDescent="0.3">
      <c r="A258" s="4" t="s">
        <v>312</v>
      </c>
      <c r="B258" s="5">
        <f t="shared" ref="B258:B321" si="4">DATE(YEAR(P258),MONTH(P258),DAY(P258))</f>
        <v>45900</v>
      </c>
      <c r="C258" s="6" t="s">
        <v>23</v>
      </c>
      <c r="D258" s="6" t="s">
        <v>24</v>
      </c>
      <c r="E258" s="6" t="s">
        <v>17</v>
      </c>
      <c r="F258" s="6" t="s">
        <v>51</v>
      </c>
      <c r="G258" s="6" t="s">
        <v>26</v>
      </c>
      <c r="H258" s="6" t="s">
        <v>27</v>
      </c>
      <c r="I258" s="6">
        <v>10</v>
      </c>
      <c r="J258" s="6">
        <v>6000</v>
      </c>
      <c r="K258" s="12">
        <v>5</v>
      </c>
      <c r="L258" s="13">
        <v>57000</v>
      </c>
      <c r="M258" s="13">
        <v>42727.95</v>
      </c>
      <c r="N258" s="6">
        <v>14272.05</v>
      </c>
      <c r="O258" s="6" t="s">
        <v>33</v>
      </c>
      <c r="P258" s="14">
        <v>45900</v>
      </c>
    </row>
    <row r="259" spans="1:16" ht="15.6" x14ac:dyDescent="0.3">
      <c r="A259" s="7" t="s">
        <v>313</v>
      </c>
      <c r="B259" s="8">
        <f t="shared" si="4"/>
        <v>45805</v>
      </c>
      <c r="C259" s="9" t="s">
        <v>30</v>
      </c>
      <c r="D259" s="9" t="s">
        <v>50</v>
      </c>
      <c r="E259" s="9" t="s">
        <v>35</v>
      </c>
      <c r="F259" s="9" t="s">
        <v>65</v>
      </c>
      <c r="G259" s="9" t="s">
        <v>19</v>
      </c>
      <c r="H259" s="9" t="s">
        <v>20</v>
      </c>
      <c r="I259" s="9">
        <v>1</v>
      </c>
      <c r="J259" s="9">
        <v>12000</v>
      </c>
      <c r="K259" s="15">
        <v>15</v>
      </c>
      <c r="L259" s="16">
        <v>10200</v>
      </c>
      <c r="M259" s="16">
        <v>6987.74</v>
      </c>
      <c r="N259" s="9">
        <v>3212.26</v>
      </c>
      <c r="O259" s="9" t="s">
        <v>21</v>
      </c>
      <c r="P259" s="17">
        <v>45805</v>
      </c>
    </row>
    <row r="260" spans="1:16" ht="15.6" x14ac:dyDescent="0.3">
      <c r="A260" s="4" t="s">
        <v>314</v>
      </c>
      <c r="B260" s="5">
        <f t="shared" si="4"/>
        <v>45898</v>
      </c>
      <c r="C260" s="6" t="s">
        <v>40</v>
      </c>
      <c r="D260" s="6" t="s">
        <v>41</v>
      </c>
      <c r="E260" s="6" t="s">
        <v>25</v>
      </c>
      <c r="F260" s="6" t="s">
        <v>36</v>
      </c>
      <c r="G260" s="6" t="s">
        <v>26</v>
      </c>
      <c r="H260" s="6" t="s">
        <v>27</v>
      </c>
      <c r="I260" s="6">
        <v>4</v>
      </c>
      <c r="J260" s="6">
        <v>6000</v>
      </c>
      <c r="K260" s="12">
        <v>15</v>
      </c>
      <c r="L260" s="13">
        <v>20400</v>
      </c>
      <c r="M260" s="13">
        <v>17399.169999999998</v>
      </c>
      <c r="N260" s="6">
        <v>3000.83</v>
      </c>
      <c r="O260" s="6" t="s">
        <v>33</v>
      </c>
      <c r="P260" s="14">
        <v>45898</v>
      </c>
    </row>
    <row r="261" spans="1:16" ht="15.6" x14ac:dyDescent="0.3">
      <c r="A261" s="7" t="s">
        <v>315</v>
      </c>
      <c r="B261" s="8">
        <f t="shared" si="4"/>
        <v>45792</v>
      </c>
      <c r="C261" s="9" t="s">
        <v>15</v>
      </c>
      <c r="D261" s="9" t="s">
        <v>16</v>
      </c>
      <c r="E261" s="9" t="s">
        <v>48</v>
      </c>
      <c r="F261" s="9" t="s">
        <v>18</v>
      </c>
      <c r="G261" s="9" t="s">
        <v>26</v>
      </c>
      <c r="H261" s="9" t="s">
        <v>27</v>
      </c>
      <c r="I261" s="9">
        <v>10</v>
      </c>
      <c r="J261" s="9">
        <v>6000</v>
      </c>
      <c r="K261" s="15">
        <v>5</v>
      </c>
      <c r="L261" s="16">
        <v>57000</v>
      </c>
      <c r="M261" s="16">
        <v>44575.72</v>
      </c>
      <c r="N261" s="9">
        <v>12424.28</v>
      </c>
      <c r="O261" s="9" t="s">
        <v>28</v>
      </c>
      <c r="P261" s="17">
        <v>45792</v>
      </c>
    </row>
    <row r="262" spans="1:16" ht="15.6" x14ac:dyDescent="0.3">
      <c r="A262" s="4" t="s">
        <v>316</v>
      </c>
      <c r="B262" s="5">
        <f t="shared" si="4"/>
        <v>45882</v>
      </c>
      <c r="C262" s="6" t="s">
        <v>40</v>
      </c>
      <c r="D262" s="6" t="s">
        <v>41</v>
      </c>
      <c r="E262" s="6" t="s">
        <v>48</v>
      </c>
      <c r="F262" s="6" t="s">
        <v>18</v>
      </c>
      <c r="G262" s="6" t="s">
        <v>37</v>
      </c>
      <c r="H262" s="6" t="s">
        <v>56</v>
      </c>
      <c r="I262" s="6">
        <v>7</v>
      </c>
      <c r="J262" s="6">
        <v>2500</v>
      </c>
      <c r="K262" s="12">
        <v>10</v>
      </c>
      <c r="L262" s="13">
        <v>15750</v>
      </c>
      <c r="M262" s="13">
        <v>11698.38</v>
      </c>
      <c r="N262" s="6">
        <v>4051.62</v>
      </c>
      <c r="O262" s="6" t="s">
        <v>21</v>
      </c>
      <c r="P262" s="14">
        <v>45882</v>
      </c>
    </row>
    <row r="263" spans="1:16" ht="15.6" x14ac:dyDescent="0.3">
      <c r="A263" s="7" t="s">
        <v>317</v>
      </c>
      <c r="B263" s="8">
        <f t="shared" si="4"/>
        <v>45956</v>
      </c>
      <c r="C263" s="9" t="s">
        <v>15</v>
      </c>
      <c r="D263" s="9" t="s">
        <v>55</v>
      </c>
      <c r="E263" s="9" t="s">
        <v>25</v>
      </c>
      <c r="F263" s="9" t="s">
        <v>36</v>
      </c>
      <c r="G263" s="9" t="s">
        <v>37</v>
      </c>
      <c r="H263" s="9" t="s">
        <v>38</v>
      </c>
      <c r="I263" s="9">
        <v>8</v>
      </c>
      <c r="J263" s="9">
        <v>900</v>
      </c>
      <c r="K263" s="15">
        <v>5</v>
      </c>
      <c r="L263" s="16">
        <v>6840</v>
      </c>
      <c r="M263" s="16">
        <v>4951.08</v>
      </c>
      <c r="N263" s="9">
        <v>1888.92</v>
      </c>
      <c r="O263" s="9" t="s">
        <v>33</v>
      </c>
      <c r="P263" s="17">
        <v>45956</v>
      </c>
    </row>
    <row r="264" spans="1:16" ht="15.6" x14ac:dyDescent="0.3">
      <c r="A264" s="4" t="s">
        <v>318</v>
      </c>
      <c r="B264" s="5">
        <f t="shared" si="4"/>
        <v>45863</v>
      </c>
      <c r="C264" s="6" t="s">
        <v>15</v>
      </c>
      <c r="D264" s="6" t="s">
        <v>55</v>
      </c>
      <c r="E264" s="6" t="s">
        <v>48</v>
      </c>
      <c r="F264" s="6" t="s">
        <v>51</v>
      </c>
      <c r="G264" s="6" t="s">
        <v>26</v>
      </c>
      <c r="H264" s="6" t="s">
        <v>27</v>
      </c>
      <c r="I264" s="6">
        <v>1</v>
      </c>
      <c r="J264" s="6">
        <v>6000</v>
      </c>
      <c r="K264" s="12">
        <v>0</v>
      </c>
      <c r="L264" s="13">
        <v>6000</v>
      </c>
      <c r="M264" s="13">
        <v>4092.28</v>
      </c>
      <c r="N264" s="6">
        <v>1907.72</v>
      </c>
      <c r="O264" s="6" t="s">
        <v>21</v>
      </c>
      <c r="P264" s="14">
        <v>45863</v>
      </c>
    </row>
    <row r="265" spans="1:16" ht="15.6" x14ac:dyDescent="0.3">
      <c r="A265" s="7" t="s">
        <v>319</v>
      </c>
      <c r="B265" s="8">
        <f t="shared" si="4"/>
        <v>45803</v>
      </c>
      <c r="C265" s="9" t="s">
        <v>40</v>
      </c>
      <c r="D265" s="9" t="s">
        <v>92</v>
      </c>
      <c r="E265" s="9" t="s">
        <v>35</v>
      </c>
      <c r="F265" s="9" t="s">
        <v>62</v>
      </c>
      <c r="G265" s="9" t="s">
        <v>19</v>
      </c>
      <c r="H265" s="9" t="s">
        <v>52</v>
      </c>
      <c r="I265" s="9">
        <v>3</v>
      </c>
      <c r="J265" s="9">
        <v>1500</v>
      </c>
      <c r="K265" s="15">
        <v>15</v>
      </c>
      <c r="L265" s="16">
        <v>3825</v>
      </c>
      <c r="M265" s="16">
        <v>2976.36</v>
      </c>
      <c r="N265" s="9">
        <v>848.64</v>
      </c>
      <c r="O265" s="9" t="s">
        <v>44</v>
      </c>
      <c r="P265" s="17">
        <v>45803</v>
      </c>
    </row>
    <row r="266" spans="1:16" ht="15.6" x14ac:dyDescent="0.3">
      <c r="A266" s="4" t="s">
        <v>320</v>
      </c>
      <c r="B266" s="5">
        <f t="shared" si="4"/>
        <v>45697</v>
      </c>
      <c r="C266" s="6" t="s">
        <v>30</v>
      </c>
      <c r="D266" s="6" t="s">
        <v>50</v>
      </c>
      <c r="E266" s="6" t="s">
        <v>17</v>
      </c>
      <c r="F266" s="6" t="s">
        <v>65</v>
      </c>
      <c r="G266" s="6" t="s">
        <v>26</v>
      </c>
      <c r="H266" s="6" t="s">
        <v>70</v>
      </c>
      <c r="I266" s="6">
        <v>3</v>
      </c>
      <c r="J266" s="6">
        <v>10000</v>
      </c>
      <c r="K266" s="12">
        <v>15</v>
      </c>
      <c r="L266" s="13">
        <v>25500</v>
      </c>
      <c r="M266" s="13">
        <v>20531.13</v>
      </c>
      <c r="N266" s="6">
        <v>4968.87</v>
      </c>
      <c r="O266" s="6" t="s">
        <v>44</v>
      </c>
      <c r="P266" s="14">
        <v>45697</v>
      </c>
    </row>
    <row r="267" spans="1:16" ht="15.6" x14ac:dyDescent="0.3">
      <c r="A267" s="7" t="s">
        <v>321</v>
      </c>
      <c r="B267" s="8">
        <f t="shared" si="4"/>
        <v>45781</v>
      </c>
      <c r="C267" s="9" t="s">
        <v>15</v>
      </c>
      <c r="D267" s="9" t="s">
        <v>16</v>
      </c>
      <c r="E267" s="9" t="s">
        <v>35</v>
      </c>
      <c r="F267" s="9" t="s">
        <v>18</v>
      </c>
      <c r="G267" s="9" t="s">
        <v>26</v>
      </c>
      <c r="H267" s="9" t="s">
        <v>70</v>
      </c>
      <c r="I267" s="9">
        <v>2</v>
      </c>
      <c r="J267" s="9">
        <v>10000</v>
      </c>
      <c r="K267" s="15">
        <v>15</v>
      </c>
      <c r="L267" s="16">
        <v>17000</v>
      </c>
      <c r="M267" s="16">
        <v>12660.52</v>
      </c>
      <c r="N267" s="9">
        <v>4339.4799999999996</v>
      </c>
      <c r="O267" s="9" t="s">
        <v>21</v>
      </c>
      <c r="P267" s="17">
        <v>45781</v>
      </c>
    </row>
    <row r="268" spans="1:16" ht="15.6" x14ac:dyDescent="0.3">
      <c r="A268" s="4" t="s">
        <v>322</v>
      </c>
      <c r="B268" s="5">
        <f t="shared" si="4"/>
        <v>45878</v>
      </c>
      <c r="C268" s="6" t="s">
        <v>40</v>
      </c>
      <c r="D268" s="6" t="s">
        <v>92</v>
      </c>
      <c r="E268" s="6" t="s">
        <v>25</v>
      </c>
      <c r="F268" s="6" t="s">
        <v>18</v>
      </c>
      <c r="G268" s="6" t="s">
        <v>37</v>
      </c>
      <c r="H268" s="6" t="s">
        <v>56</v>
      </c>
      <c r="I268" s="6">
        <v>4</v>
      </c>
      <c r="J268" s="6">
        <v>2500</v>
      </c>
      <c r="K268" s="12">
        <v>0</v>
      </c>
      <c r="L268" s="13">
        <v>10000</v>
      </c>
      <c r="M268" s="13">
        <v>7335.84</v>
      </c>
      <c r="N268" s="6">
        <v>2664.16</v>
      </c>
      <c r="O268" s="6" t="s">
        <v>28</v>
      </c>
      <c r="P268" s="14">
        <v>45878</v>
      </c>
    </row>
    <row r="269" spans="1:16" ht="15.6" x14ac:dyDescent="0.3">
      <c r="A269" s="7" t="s">
        <v>323</v>
      </c>
      <c r="B269" s="8">
        <f t="shared" si="4"/>
        <v>46011</v>
      </c>
      <c r="C269" s="9" t="s">
        <v>23</v>
      </c>
      <c r="D269" s="9" t="s">
        <v>24</v>
      </c>
      <c r="E269" s="9" t="s">
        <v>59</v>
      </c>
      <c r="F269" s="9" t="s">
        <v>42</v>
      </c>
      <c r="G269" s="9" t="s">
        <v>26</v>
      </c>
      <c r="H269" s="9" t="s">
        <v>27</v>
      </c>
      <c r="I269" s="9">
        <v>1</v>
      </c>
      <c r="J269" s="9">
        <v>6000</v>
      </c>
      <c r="K269" s="15">
        <v>10</v>
      </c>
      <c r="L269" s="16">
        <v>5400</v>
      </c>
      <c r="M269" s="16">
        <v>4229.4799999999996</v>
      </c>
      <c r="N269" s="9">
        <v>1170.52</v>
      </c>
      <c r="O269" s="9" t="s">
        <v>44</v>
      </c>
      <c r="P269" s="17">
        <v>46011</v>
      </c>
    </row>
    <row r="270" spans="1:16" ht="15.6" x14ac:dyDescent="0.3">
      <c r="A270" s="4" t="s">
        <v>324</v>
      </c>
      <c r="B270" s="5">
        <f t="shared" si="4"/>
        <v>45660</v>
      </c>
      <c r="C270" s="6" t="s">
        <v>23</v>
      </c>
      <c r="D270" s="6" t="s">
        <v>24</v>
      </c>
      <c r="E270" s="6" t="s">
        <v>35</v>
      </c>
      <c r="F270" s="6" t="s">
        <v>18</v>
      </c>
      <c r="G270" s="6" t="s">
        <v>26</v>
      </c>
      <c r="H270" s="6" t="s">
        <v>27</v>
      </c>
      <c r="I270" s="6">
        <v>10</v>
      </c>
      <c r="J270" s="6">
        <v>6000</v>
      </c>
      <c r="K270" s="12">
        <v>5</v>
      </c>
      <c r="L270" s="13">
        <v>57000</v>
      </c>
      <c r="M270" s="13">
        <v>50955.78</v>
      </c>
      <c r="N270" s="6">
        <v>6044.22</v>
      </c>
      <c r="O270" s="6" t="s">
        <v>33</v>
      </c>
      <c r="P270" s="14">
        <v>45660</v>
      </c>
    </row>
    <row r="271" spans="1:16" ht="15.6" x14ac:dyDescent="0.3">
      <c r="A271" s="7" t="s">
        <v>325</v>
      </c>
      <c r="B271" s="8">
        <f t="shared" si="4"/>
        <v>45939</v>
      </c>
      <c r="C271" s="9" t="s">
        <v>40</v>
      </c>
      <c r="D271" s="9" t="s">
        <v>92</v>
      </c>
      <c r="E271" s="9" t="s">
        <v>25</v>
      </c>
      <c r="F271" s="9" t="s">
        <v>42</v>
      </c>
      <c r="G271" s="9" t="s">
        <v>26</v>
      </c>
      <c r="H271" s="9" t="s">
        <v>27</v>
      </c>
      <c r="I271" s="9">
        <v>2</v>
      </c>
      <c r="J271" s="9">
        <v>6000</v>
      </c>
      <c r="K271" s="15">
        <v>10</v>
      </c>
      <c r="L271" s="16">
        <v>10800</v>
      </c>
      <c r="M271" s="16">
        <v>7776.07</v>
      </c>
      <c r="N271" s="9">
        <v>3023.93</v>
      </c>
      <c r="O271" s="9" t="s">
        <v>44</v>
      </c>
      <c r="P271" s="17">
        <v>45939</v>
      </c>
    </row>
    <row r="272" spans="1:16" ht="15.6" x14ac:dyDescent="0.3">
      <c r="A272" s="4" t="s">
        <v>326</v>
      </c>
      <c r="B272" s="5">
        <f t="shared" si="4"/>
        <v>45926</v>
      </c>
      <c r="C272" s="6" t="s">
        <v>30</v>
      </c>
      <c r="D272" s="6" t="s">
        <v>50</v>
      </c>
      <c r="E272" s="6" t="s">
        <v>32</v>
      </c>
      <c r="F272" s="6" t="s">
        <v>62</v>
      </c>
      <c r="G272" s="6" t="s">
        <v>37</v>
      </c>
      <c r="H272" s="6" t="s">
        <v>56</v>
      </c>
      <c r="I272" s="6">
        <v>9</v>
      </c>
      <c r="J272" s="6">
        <v>2500</v>
      </c>
      <c r="K272" s="12">
        <v>0</v>
      </c>
      <c r="L272" s="13">
        <v>22500</v>
      </c>
      <c r="M272" s="13">
        <v>17542.080000000002</v>
      </c>
      <c r="N272" s="6">
        <v>4957.92</v>
      </c>
      <c r="O272" s="6" t="s">
        <v>44</v>
      </c>
      <c r="P272" s="14">
        <v>45926</v>
      </c>
    </row>
    <row r="273" spans="1:16" ht="15.6" x14ac:dyDescent="0.3">
      <c r="A273" s="7" t="s">
        <v>327</v>
      </c>
      <c r="B273" s="8">
        <f t="shared" si="4"/>
        <v>45885</v>
      </c>
      <c r="C273" s="9" t="s">
        <v>40</v>
      </c>
      <c r="D273" s="9" t="s">
        <v>92</v>
      </c>
      <c r="E273" s="9" t="s">
        <v>17</v>
      </c>
      <c r="F273" s="9" t="s">
        <v>62</v>
      </c>
      <c r="G273" s="9" t="s">
        <v>19</v>
      </c>
      <c r="H273" s="9" t="s">
        <v>52</v>
      </c>
      <c r="I273" s="9">
        <v>6</v>
      </c>
      <c r="J273" s="9">
        <v>1500</v>
      </c>
      <c r="K273" s="15">
        <v>5</v>
      </c>
      <c r="L273" s="16">
        <v>8550</v>
      </c>
      <c r="M273" s="16">
        <v>5757.28</v>
      </c>
      <c r="N273" s="9">
        <v>2792.72</v>
      </c>
      <c r="O273" s="9" t="s">
        <v>33</v>
      </c>
      <c r="P273" s="17">
        <v>45885</v>
      </c>
    </row>
    <row r="274" spans="1:16" ht="15.6" x14ac:dyDescent="0.3">
      <c r="A274" s="4" t="s">
        <v>328</v>
      </c>
      <c r="B274" s="5">
        <f t="shared" si="4"/>
        <v>45897</v>
      </c>
      <c r="C274" s="6" t="s">
        <v>15</v>
      </c>
      <c r="D274" s="6" t="s">
        <v>55</v>
      </c>
      <c r="E274" s="6" t="s">
        <v>32</v>
      </c>
      <c r="F274" s="6" t="s">
        <v>18</v>
      </c>
      <c r="G274" s="6" t="s">
        <v>19</v>
      </c>
      <c r="H274" s="6" t="s">
        <v>43</v>
      </c>
      <c r="I274" s="6">
        <v>5</v>
      </c>
      <c r="J274" s="6">
        <v>55000</v>
      </c>
      <c r="K274" s="12">
        <v>10</v>
      </c>
      <c r="L274" s="13">
        <v>247500</v>
      </c>
      <c r="M274" s="13">
        <v>217769.36</v>
      </c>
      <c r="N274" s="6">
        <v>29730.639999999999</v>
      </c>
      <c r="O274" s="6" t="s">
        <v>28</v>
      </c>
      <c r="P274" s="14">
        <v>45897</v>
      </c>
    </row>
    <row r="275" spans="1:16" ht="15.6" x14ac:dyDescent="0.3">
      <c r="A275" s="7" t="s">
        <v>329</v>
      </c>
      <c r="B275" s="8">
        <f t="shared" si="4"/>
        <v>45857</v>
      </c>
      <c r="C275" s="9" t="s">
        <v>23</v>
      </c>
      <c r="D275" s="9" t="s">
        <v>24</v>
      </c>
      <c r="E275" s="9" t="s">
        <v>59</v>
      </c>
      <c r="F275" s="9" t="s">
        <v>65</v>
      </c>
      <c r="G275" s="9" t="s">
        <v>26</v>
      </c>
      <c r="H275" s="9" t="s">
        <v>27</v>
      </c>
      <c r="I275" s="9">
        <v>6</v>
      </c>
      <c r="J275" s="9">
        <v>6000</v>
      </c>
      <c r="K275" s="15">
        <v>10</v>
      </c>
      <c r="L275" s="16">
        <v>32400</v>
      </c>
      <c r="M275" s="16">
        <v>28918.46</v>
      </c>
      <c r="N275" s="9">
        <v>3481.54</v>
      </c>
      <c r="O275" s="9" t="s">
        <v>33</v>
      </c>
      <c r="P275" s="17">
        <v>45857</v>
      </c>
    </row>
    <row r="276" spans="1:16" ht="15.6" x14ac:dyDescent="0.3">
      <c r="A276" s="4" t="s">
        <v>330</v>
      </c>
      <c r="B276" s="5">
        <f t="shared" si="4"/>
        <v>45733</v>
      </c>
      <c r="C276" s="6" t="s">
        <v>23</v>
      </c>
      <c r="D276" s="6" t="s">
        <v>24</v>
      </c>
      <c r="E276" s="6" t="s">
        <v>48</v>
      </c>
      <c r="F276" s="6" t="s">
        <v>36</v>
      </c>
      <c r="G276" s="6" t="s">
        <v>19</v>
      </c>
      <c r="H276" s="6" t="s">
        <v>52</v>
      </c>
      <c r="I276" s="6">
        <v>5</v>
      </c>
      <c r="J276" s="6">
        <v>1500</v>
      </c>
      <c r="K276" s="12">
        <v>15</v>
      </c>
      <c r="L276" s="13">
        <v>6375</v>
      </c>
      <c r="M276" s="13">
        <v>5344.38</v>
      </c>
      <c r="N276" s="6">
        <v>1030.6199999999999</v>
      </c>
      <c r="O276" s="6" t="s">
        <v>28</v>
      </c>
      <c r="P276" s="14">
        <v>45733</v>
      </c>
    </row>
    <row r="277" spans="1:16" ht="15.6" x14ac:dyDescent="0.3">
      <c r="A277" s="7" t="s">
        <v>331</v>
      </c>
      <c r="B277" s="8">
        <f t="shared" si="4"/>
        <v>45857</v>
      </c>
      <c r="C277" s="9" t="s">
        <v>40</v>
      </c>
      <c r="D277" s="9" t="s">
        <v>61</v>
      </c>
      <c r="E277" s="9" t="s">
        <v>48</v>
      </c>
      <c r="F277" s="9" t="s">
        <v>65</v>
      </c>
      <c r="G277" s="9" t="s">
        <v>26</v>
      </c>
      <c r="H277" s="9" t="s">
        <v>70</v>
      </c>
      <c r="I277" s="9">
        <v>6</v>
      </c>
      <c r="J277" s="9">
        <v>10000</v>
      </c>
      <c r="K277" s="15">
        <v>5</v>
      </c>
      <c r="L277" s="16">
        <v>57000</v>
      </c>
      <c r="M277" s="16">
        <v>47069.93</v>
      </c>
      <c r="N277" s="9">
        <v>9930.07</v>
      </c>
      <c r="O277" s="9" t="s">
        <v>44</v>
      </c>
      <c r="P277" s="17">
        <v>45857</v>
      </c>
    </row>
    <row r="278" spans="1:16" ht="15.6" x14ac:dyDescent="0.3">
      <c r="A278" s="4" t="s">
        <v>332</v>
      </c>
      <c r="B278" s="5">
        <f t="shared" si="4"/>
        <v>45978</v>
      </c>
      <c r="C278" s="6" t="s">
        <v>15</v>
      </c>
      <c r="D278" s="6" t="s">
        <v>55</v>
      </c>
      <c r="E278" s="6" t="s">
        <v>48</v>
      </c>
      <c r="F278" s="6" t="s">
        <v>51</v>
      </c>
      <c r="G278" s="6" t="s">
        <v>26</v>
      </c>
      <c r="H278" s="6" t="s">
        <v>27</v>
      </c>
      <c r="I278" s="6">
        <v>6</v>
      </c>
      <c r="J278" s="6">
        <v>6000</v>
      </c>
      <c r="K278" s="12">
        <v>15</v>
      </c>
      <c r="L278" s="13">
        <v>30600</v>
      </c>
      <c r="M278" s="13">
        <v>25622.38</v>
      </c>
      <c r="N278" s="6">
        <v>4977.62</v>
      </c>
      <c r="O278" s="6" t="s">
        <v>28</v>
      </c>
      <c r="P278" s="14">
        <v>45978</v>
      </c>
    </row>
    <row r="279" spans="1:16" ht="15.6" x14ac:dyDescent="0.3">
      <c r="A279" s="7" t="s">
        <v>333</v>
      </c>
      <c r="B279" s="8">
        <f t="shared" si="4"/>
        <v>45992</v>
      </c>
      <c r="C279" s="9" t="s">
        <v>15</v>
      </c>
      <c r="D279" s="9" t="s">
        <v>16</v>
      </c>
      <c r="E279" s="9" t="s">
        <v>17</v>
      </c>
      <c r="F279" s="9" t="s">
        <v>51</v>
      </c>
      <c r="G279" s="9" t="s">
        <v>26</v>
      </c>
      <c r="H279" s="9" t="s">
        <v>27</v>
      </c>
      <c r="I279" s="9">
        <v>7</v>
      </c>
      <c r="J279" s="9">
        <v>6000</v>
      </c>
      <c r="K279" s="15">
        <v>5</v>
      </c>
      <c r="L279" s="16">
        <v>39900</v>
      </c>
      <c r="M279" s="16">
        <v>33612.94</v>
      </c>
      <c r="N279" s="9">
        <v>6287.06</v>
      </c>
      <c r="O279" s="9" t="s">
        <v>28</v>
      </c>
      <c r="P279" s="17">
        <v>45992</v>
      </c>
    </row>
    <row r="280" spans="1:16" ht="15.6" x14ac:dyDescent="0.3">
      <c r="A280" s="4" t="s">
        <v>334</v>
      </c>
      <c r="B280" s="5">
        <f t="shared" si="4"/>
        <v>45679</v>
      </c>
      <c r="C280" s="6" t="s">
        <v>30</v>
      </c>
      <c r="D280" s="6" t="s">
        <v>50</v>
      </c>
      <c r="E280" s="6" t="s">
        <v>25</v>
      </c>
      <c r="F280" s="6" t="s">
        <v>65</v>
      </c>
      <c r="G280" s="6" t="s">
        <v>37</v>
      </c>
      <c r="H280" s="6" t="s">
        <v>72</v>
      </c>
      <c r="I280" s="6">
        <v>4</v>
      </c>
      <c r="J280" s="6">
        <v>800</v>
      </c>
      <c r="K280" s="12">
        <v>10</v>
      </c>
      <c r="L280" s="13">
        <v>2880</v>
      </c>
      <c r="M280" s="13">
        <v>2074.5500000000002</v>
      </c>
      <c r="N280" s="6">
        <v>805.45</v>
      </c>
      <c r="O280" s="6" t="s">
        <v>44</v>
      </c>
      <c r="P280" s="14">
        <v>45679</v>
      </c>
    </row>
    <row r="281" spans="1:16" ht="15.6" x14ac:dyDescent="0.3">
      <c r="A281" s="7" t="s">
        <v>335</v>
      </c>
      <c r="B281" s="8">
        <f t="shared" si="4"/>
        <v>45764</v>
      </c>
      <c r="C281" s="9" t="s">
        <v>30</v>
      </c>
      <c r="D281" s="9" t="s">
        <v>31</v>
      </c>
      <c r="E281" s="9" t="s">
        <v>35</v>
      </c>
      <c r="F281" s="9" t="s">
        <v>51</v>
      </c>
      <c r="G281" s="9" t="s">
        <v>37</v>
      </c>
      <c r="H281" s="9" t="s">
        <v>38</v>
      </c>
      <c r="I281" s="9">
        <v>6</v>
      </c>
      <c r="J281" s="9">
        <v>900</v>
      </c>
      <c r="K281" s="15">
        <v>10</v>
      </c>
      <c r="L281" s="16">
        <v>4860</v>
      </c>
      <c r="M281" s="16">
        <v>4361.1000000000004</v>
      </c>
      <c r="N281" s="9">
        <v>498.9</v>
      </c>
      <c r="O281" s="9" t="s">
        <v>44</v>
      </c>
      <c r="P281" s="17">
        <v>45764</v>
      </c>
    </row>
    <row r="282" spans="1:16" ht="15.6" x14ac:dyDescent="0.3">
      <c r="A282" s="4" t="s">
        <v>336</v>
      </c>
      <c r="B282" s="5">
        <f t="shared" si="4"/>
        <v>45931</v>
      </c>
      <c r="C282" s="6" t="s">
        <v>23</v>
      </c>
      <c r="D282" s="6" t="s">
        <v>58</v>
      </c>
      <c r="E282" s="6" t="s">
        <v>25</v>
      </c>
      <c r="F282" s="6" t="s">
        <v>18</v>
      </c>
      <c r="G282" s="6" t="s">
        <v>26</v>
      </c>
      <c r="H282" s="6" t="s">
        <v>70</v>
      </c>
      <c r="I282" s="6">
        <v>2</v>
      </c>
      <c r="J282" s="6">
        <v>10000</v>
      </c>
      <c r="K282" s="12">
        <v>15</v>
      </c>
      <c r="L282" s="13">
        <v>17000</v>
      </c>
      <c r="M282" s="13">
        <v>14441.91</v>
      </c>
      <c r="N282" s="6">
        <v>2558.09</v>
      </c>
      <c r="O282" s="6" t="s">
        <v>33</v>
      </c>
      <c r="P282" s="14">
        <v>45931</v>
      </c>
    </row>
    <row r="283" spans="1:16" ht="15.6" x14ac:dyDescent="0.3">
      <c r="A283" s="7" t="s">
        <v>337</v>
      </c>
      <c r="B283" s="8">
        <f t="shared" si="4"/>
        <v>45903</v>
      </c>
      <c r="C283" s="9" t="s">
        <v>15</v>
      </c>
      <c r="D283" s="9" t="s">
        <v>55</v>
      </c>
      <c r="E283" s="9" t="s">
        <v>35</v>
      </c>
      <c r="F283" s="9" t="s">
        <v>62</v>
      </c>
      <c r="G283" s="9" t="s">
        <v>37</v>
      </c>
      <c r="H283" s="9" t="s">
        <v>72</v>
      </c>
      <c r="I283" s="9">
        <v>2</v>
      </c>
      <c r="J283" s="9">
        <v>800</v>
      </c>
      <c r="K283" s="15">
        <v>0</v>
      </c>
      <c r="L283" s="16">
        <v>1600</v>
      </c>
      <c r="M283" s="16">
        <v>1198.54</v>
      </c>
      <c r="N283" s="9">
        <v>401.46</v>
      </c>
      <c r="O283" s="9" t="s">
        <v>21</v>
      </c>
      <c r="P283" s="17">
        <v>45903</v>
      </c>
    </row>
    <row r="284" spans="1:16" ht="15.6" x14ac:dyDescent="0.3">
      <c r="A284" s="4" t="s">
        <v>338</v>
      </c>
      <c r="B284" s="5">
        <f t="shared" si="4"/>
        <v>45898</v>
      </c>
      <c r="C284" s="6" t="s">
        <v>23</v>
      </c>
      <c r="D284" s="6" t="s">
        <v>24</v>
      </c>
      <c r="E284" s="6" t="s">
        <v>17</v>
      </c>
      <c r="F284" s="6" t="s">
        <v>65</v>
      </c>
      <c r="G284" s="6" t="s">
        <v>37</v>
      </c>
      <c r="H284" s="6" t="s">
        <v>38</v>
      </c>
      <c r="I284" s="6">
        <v>1</v>
      </c>
      <c r="J284" s="6">
        <v>900</v>
      </c>
      <c r="K284" s="12">
        <v>15</v>
      </c>
      <c r="L284" s="13">
        <v>765</v>
      </c>
      <c r="M284" s="13">
        <v>520.58000000000004</v>
      </c>
      <c r="N284" s="6">
        <v>244.42</v>
      </c>
      <c r="O284" s="6" t="s">
        <v>33</v>
      </c>
      <c r="P284" s="14">
        <v>45898</v>
      </c>
    </row>
    <row r="285" spans="1:16" ht="15.6" x14ac:dyDescent="0.3">
      <c r="A285" s="7" t="s">
        <v>339</v>
      </c>
      <c r="B285" s="8">
        <f t="shared" si="4"/>
        <v>45954</v>
      </c>
      <c r="C285" s="9" t="s">
        <v>23</v>
      </c>
      <c r="D285" s="9" t="s">
        <v>24</v>
      </c>
      <c r="E285" s="9" t="s">
        <v>17</v>
      </c>
      <c r="F285" s="9" t="s">
        <v>42</v>
      </c>
      <c r="G285" s="9" t="s">
        <v>19</v>
      </c>
      <c r="H285" s="9" t="s">
        <v>52</v>
      </c>
      <c r="I285" s="9">
        <v>10</v>
      </c>
      <c r="J285" s="9">
        <v>1500</v>
      </c>
      <c r="K285" s="15">
        <v>0</v>
      </c>
      <c r="L285" s="16">
        <v>15000</v>
      </c>
      <c r="M285" s="16">
        <v>10592.31</v>
      </c>
      <c r="N285" s="9">
        <v>4407.6899999999996</v>
      </c>
      <c r="O285" s="9" t="s">
        <v>28</v>
      </c>
      <c r="P285" s="17">
        <v>45954</v>
      </c>
    </row>
    <row r="286" spans="1:16" ht="15.6" x14ac:dyDescent="0.3">
      <c r="A286" s="4" t="s">
        <v>340</v>
      </c>
      <c r="B286" s="5">
        <f t="shared" si="4"/>
        <v>45678</v>
      </c>
      <c r="C286" s="6" t="s">
        <v>30</v>
      </c>
      <c r="D286" s="6" t="s">
        <v>50</v>
      </c>
      <c r="E286" s="6" t="s">
        <v>48</v>
      </c>
      <c r="F286" s="6" t="s">
        <v>62</v>
      </c>
      <c r="G286" s="6" t="s">
        <v>37</v>
      </c>
      <c r="H286" s="6" t="s">
        <v>38</v>
      </c>
      <c r="I286" s="6">
        <v>7</v>
      </c>
      <c r="J286" s="6">
        <v>900</v>
      </c>
      <c r="K286" s="12">
        <v>0</v>
      </c>
      <c r="L286" s="13">
        <v>6300</v>
      </c>
      <c r="M286" s="13">
        <v>5324.98</v>
      </c>
      <c r="N286" s="6">
        <v>975.02</v>
      </c>
      <c r="O286" s="6" t="s">
        <v>21</v>
      </c>
      <c r="P286" s="14">
        <v>45678</v>
      </c>
    </row>
    <row r="287" spans="1:16" ht="15.6" x14ac:dyDescent="0.3">
      <c r="A287" s="7" t="s">
        <v>341</v>
      </c>
      <c r="B287" s="8">
        <f t="shared" si="4"/>
        <v>46001</v>
      </c>
      <c r="C287" s="9" t="s">
        <v>15</v>
      </c>
      <c r="D287" s="9" t="s">
        <v>55</v>
      </c>
      <c r="E287" s="9" t="s">
        <v>35</v>
      </c>
      <c r="F287" s="9" t="s">
        <v>36</v>
      </c>
      <c r="G287" s="9" t="s">
        <v>19</v>
      </c>
      <c r="H287" s="9" t="s">
        <v>43</v>
      </c>
      <c r="I287" s="9">
        <v>10</v>
      </c>
      <c r="J287" s="9">
        <v>55000</v>
      </c>
      <c r="K287" s="15">
        <v>10</v>
      </c>
      <c r="L287" s="16">
        <v>495000</v>
      </c>
      <c r="M287" s="16">
        <v>399656.62</v>
      </c>
      <c r="N287" s="9">
        <v>95343.38</v>
      </c>
      <c r="O287" s="9" t="s">
        <v>33</v>
      </c>
      <c r="P287" s="17">
        <v>46001</v>
      </c>
    </row>
    <row r="288" spans="1:16" ht="15.6" x14ac:dyDescent="0.3">
      <c r="A288" s="4" t="s">
        <v>342</v>
      </c>
      <c r="B288" s="5">
        <f t="shared" si="4"/>
        <v>45744</v>
      </c>
      <c r="C288" s="6" t="s">
        <v>30</v>
      </c>
      <c r="D288" s="6" t="s">
        <v>50</v>
      </c>
      <c r="E288" s="6" t="s">
        <v>17</v>
      </c>
      <c r="F288" s="6" t="s">
        <v>42</v>
      </c>
      <c r="G288" s="6" t="s">
        <v>26</v>
      </c>
      <c r="H288" s="6" t="s">
        <v>70</v>
      </c>
      <c r="I288" s="6">
        <v>2</v>
      </c>
      <c r="J288" s="6">
        <v>10000</v>
      </c>
      <c r="K288" s="12">
        <v>0</v>
      </c>
      <c r="L288" s="13">
        <v>20000</v>
      </c>
      <c r="M288" s="13">
        <v>16598.54</v>
      </c>
      <c r="N288" s="6">
        <v>3401.46</v>
      </c>
      <c r="O288" s="6" t="s">
        <v>33</v>
      </c>
      <c r="P288" s="14">
        <v>45744</v>
      </c>
    </row>
    <row r="289" spans="1:16" ht="15.6" x14ac:dyDescent="0.3">
      <c r="A289" s="7" t="s">
        <v>343</v>
      </c>
      <c r="B289" s="8">
        <f t="shared" si="4"/>
        <v>45762</v>
      </c>
      <c r="C289" s="9" t="s">
        <v>40</v>
      </c>
      <c r="D289" s="9" t="s">
        <v>92</v>
      </c>
      <c r="E289" s="9" t="s">
        <v>32</v>
      </c>
      <c r="F289" s="9" t="s">
        <v>36</v>
      </c>
      <c r="G289" s="9" t="s">
        <v>26</v>
      </c>
      <c r="H289" s="9" t="s">
        <v>27</v>
      </c>
      <c r="I289" s="9">
        <v>5</v>
      </c>
      <c r="J289" s="9">
        <v>6000</v>
      </c>
      <c r="K289" s="15">
        <v>10</v>
      </c>
      <c r="L289" s="16">
        <v>27000</v>
      </c>
      <c r="M289" s="16">
        <v>18837.57</v>
      </c>
      <c r="N289" s="9">
        <v>8162.43</v>
      </c>
      <c r="O289" s="9" t="s">
        <v>44</v>
      </c>
      <c r="P289" s="17">
        <v>45762</v>
      </c>
    </row>
    <row r="290" spans="1:16" ht="15.6" x14ac:dyDescent="0.3">
      <c r="A290" s="4" t="s">
        <v>344</v>
      </c>
      <c r="B290" s="5">
        <f t="shared" si="4"/>
        <v>46021</v>
      </c>
      <c r="C290" s="6" t="s">
        <v>15</v>
      </c>
      <c r="D290" s="6" t="s">
        <v>55</v>
      </c>
      <c r="E290" s="6" t="s">
        <v>48</v>
      </c>
      <c r="F290" s="6" t="s">
        <v>36</v>
      </c>
      <c r="G290" s="6" t="s">
        <v>19</v>
      </c>
      <c r="H290" s="6" t="s">
        <v>43</v>
      </c>
      <c r="I290" s="6">
        <v>2</v>
      </c>
      <c r="J290" s="6">
        <v>55000</v>
      </c>
      <c r="K290" s="12">
        <v>15</v>
      </c>
      <c r="L290" s="13">
        <v>93500</v>
      </c>
      <c r="M290" s="13">
        <v>61654.01</v>
      </c>
      <c r="N290" s="6">
        <v>31845.99</v>
      </c>
      <c r="O290" s="6" t="s">
        <v>21</v>
      </c>
      <c r="P290" s="14">
        <v>46021</v>
      </c>
    </row>
    <row r="291" spans="1:16" ht="15.6" x14ac:dyDescent="0.3">
      <c r="A291" s="7" t="s">
        <v>345</v>
      </c>
      <c r="B291" s="8">
        <f t="shared" si="4"/>
        <v>45785</v>
      </c>
      <c r="C291" s="9" t="s">
        <v>23</v>
      </c>
      <c r="D291" s="9" t="s">
        <v>90</v>
      </c>
      <c r="E291" s="9" t="s">
        <v>32</v>
      </c>
      <c r="F291" s="9" t="s">
        <v>36</v>
      </c>
      <c r="G291" s="9" t="s">
        <v>19</v>
      </c>
      <c r="H291" s="9" t="s">
        <v>20</v>
      </c>
      <c r="I291" s="9">
        <v>7</v>
      </c>
      <c r="J291" s="9">
        <v>12000</v>
      </c>
      <c r="K291" s="15">
        <v>0</v>
      </c>
      <c r="L291" s="16">
        <v>84000</v>
      </c>
      <c r="M291" s="16">
        <v>71934.789999999994</v>
      </c>
      <c r="N291" s="9">
        <v>12065.21</v>
      </c>
      <c r="O291" s="9" t="s">
        <v>33</v>
      </c>
      <c r="P291" s="17">
        <v>45785</v>
      </c>
    </row>
    <row r="292" spans="1:16" ht="15.6" x14ac:dyDescent="0.3">
      <c r="A292" s="4" t="s">
        <v>346</v>
      </c>
      <c r="B292" s="5">
        <f t="shared" si="4"/>
        <v>45837</v>
      </c>
      <c r="C292" s="6" t="s">
        <v>40</v>
      </c>
      <c r="D292" s="6" t="s">
        <v>61</v>
      </c>
      <c r="E292" s="6" t="s">
        <v>17</v>
      </c>
      <c r="F292" s="6" t="s">
        <v>51</v>
      </c>
      <c r="G292" s="6" t="s">
        <v>26</v>
      </c>
      <c r="H292" s="6" t="s">
        <v>27</v>
      </c>
      <c r="I292" s="6">
        <v>2</v>
      </c>
      <c r="J292" s="6">
        <v>6000</v>
      </c>
      <c r="K292" s="12">
        <v>0</v>
      </c>
      <c r="L292" s="13">
        <v>12000</v>
      </c>
      <c r="M292" s="13">
        <v>10168.01</v>
      </c>
      <c r="N292" s="6">
        <v>1831.99</v>
      </c>
      <c r="O292" s="6" t="s">
        <v>28</v>
      </c>
      <c r="P292" s="14">
        <v>45837</v>
      </c>
    </row>
    <row r="293" spans="1:16" ht="15.6" x14ac:dyDescent="0.3">
      <c r="A293" s="7" t="s">
        <v>347</v>
      </c>
      <c r="B293" s="8">
        <f t="shared" si="4"/>
        <v>45835</v>
      </c>
      <c r="C293" s="9" t="s">
        <v>15</v>
      </c>
      <c r="D293" s="9" t="s">
        <v>55</v>
      </c>
      <c r="E293" s="9" t="s">
        <v>59</v>
      </c>
      <c r="F293" s="9" t="s">
        <v>42</v>
      </c>
      <c r="G293" s="9" t="s">
        <v>37</v>
      </c>
      <c r="H293" s="9" t="s">
        <v>38</v>
      </c>
      <c r="I293" s="9">
        <v>7</v>
      </c>
      <c r="J293" s="9">
        <v>900</v>
      </c>
      <c r="K293" s="15">
        <v>0</v>
      </c>
      <c r="L293" s="16">
        <v>6300</v>
      </c>
      <c r="M293" s="16">
        <v>4227.2</v>
      </c>
      <c r="N293" s="9">
        <v>2072.8000000000002</v>
      </c>
      <c r="O293" s="9" t="s">
        <v>44</v>
      </c>
      <c r="P293" s="17">
        <v>45835</v>
      </c>
    </row>
    <row r="294" spans="1:16" ht="15.6" x14ac:dyDescent="0.3">
      <c r="A294" s="4" t="s">
        <v>348</v>
      </c>
      <c r="B294" s="5">
        <f t="shared" si="4"/>
        <v>45921</v>
      </c>
      <c r="C294" s="6" t="s">
        <v>30</v>
      </c>
      <c r="D294" s="6" t="s">
        <v>31</v>
      </c>
      <c r="E294" s="6" t="s">
        <v>48</v>
      </c>
      <c r="F294" s="6" t="s">
        <v>42</v>
      </c>
      <c r="G294" s="6" t="s">
        <v>37</v>
      </c>
      <c r="H294" s="6" t="s">
        <v>56</v>
      </c>
      <c r="I294" s="6">
        <v>10</v>
      </c>
      <c r="J294" s="6">
        <v>2500</v>
      </c>
      <c r="K294" s="12">
        <v>0</v>
      </c>
      <c r="L294" s="13">
        <v>25000</v>
      </c>
      <c r="M294" s="13">
        <v>18461.53</v>
      </c>
      <c r="N294" s="6">
        <v>6538.47</v>
      </c>
      <c r="O294" s="6" t="s">
        <v>33</v>
      </c>
      <c r="P294" s="14">
        <v>45921</v>
      </c>
    </row>
    <row r="295" spans="1:16" ht="15.6" x14ac:dyDescent="0.3">
      <c r="A295" s="7" t="s">
        <v>349</v>
      </c>
      <c r="B295" s="8">
        <f t="shared" si="4"/>
        <v>45765</v>
      </c>
      <c r="C295" s="9" t="s">
        <v>30</v>
      </c>
      <c r="D295" s="9" t="s">
        <v>31</v>
      </c>
      <c r="E295" s="9" t="s">
        <v>32</v>
      </c>
      <c r="F295" s="9" t="s">
        <v>65</v>
      </c>
      <c r="G295" s="9" t="s">
        <v>26</v>
      </c>
      <c r="H295" s="9" t="s">
        <v>27</v>
      </c>
      <c r="I295" s="9">
        <v>9</v>
      </c>
      <c r="J295" s="9">
        <v>6000</v>
      </c>
      <c r="K295" s="15">
        <v>0</v>
      </c>
      <c r="L295" s="16">
        <v>54000</v>
      </c>
      <c r="M295" s="16">
        <v>47752.45</v>
      </c>
      <c r="N295" s="9">
        <v>6247.55</v>
      </c>
      <c r="O295" s="9" t="s">
        <v>33</v>
      </c>
      <c r="P295" s="17">
        <v>45765</v>
      </c>
    </row>
    <row r="296" spans="1:16" ht="15.6" x14ac:dyDescent="0.3">
      <c r="A296" s="4" t="s">
        <v>350</v>
      </c>
      <c r="B296" s="5">
        <f t="shared" si="4"/>
        <v>46020</v>
      </c>
      <c r="C296" s="6" t="s">
        <v>30</v>
      </c>
      <c r="D296" s="6" t="s">
        <v>50</v>
      </c>
      <c r="E296" s="6" t="s">
        <v>48</v>
      </c>
      <c r="F296" s="6" t="s">
        <v>62</v>
      </c>
      <c r="G296" s="6" t="s">
        <v>37</v>
      </c>
      <c r="H296" s="6" t="s">
        <v>56</v>
      </c>
      <c r="I296" s="6">
        <v>3</v>
      </c>
      <c r="J296" s="6">
        <v>2500</v>
      </c>
      <c r="K296" s="12">
        <v>10</v>
      </c>
      <c r="L296" s="13">
        <v>6750</v>
      </c>
      <c r="M296" s="13">
        <v>6064.47</v>
      </c>
      <c r="N296" s="6">
        <v>685.53</v>
      </c>
      <c r="O296" s="6" t="s">
        <v>28</v>
      </c>
      <c r="P296" s="14">
        <v>46020</v>
      </c>
    </row>
    <row r="297" spans="1:16" ht="15.6" x14ac:dyDescent="0.3">
      <c r="A297" s="7" t="s">
        <v>351</v>
      </c>
      <c r="B297" s="8">
        <f t="shared" si="4"/>
        <v>45747</v>
      </c>
      <c r="C297" s="9" t="s">
        <v>30</v>
      </c>
      <c r="D297" s="9" t="s">
        <v>31</v>
      </c>
      <c r="E297" s="9" t="s">
        <v>17</v>
      </c>
      <c r="F297" s="9" t="s">
        <v>36</v>
      </c>
      <c r="G297" s="9" t="s">
        <v>19</v>
      </c>
      <c r="H297" s="9" t="s">
        <v>20</v>
      </c>
      <c r="I297" s="9">
        <v>1</v>
      </c>
      <c r="J297" s="9">
        <v>12000</v>
      </c>
      <c r="K297" s="15">
        <v>10</v>
      </c>
      <c r="L297" s="16">
        <v>10800</v>
      </c>
      <c r="M297" s="16">
        <v>7095.68</v>
      </c>
      <c r="N297" s="9">
        <v>3704.32</v>
      </c>
      <c r="O297" s="9" t="s">
        <v>28</v>
      </c>
      <c r="P297" s="17">
        <v>45747</v>
      </c>
    </row>
    <row r="298" spans="1:16" ht="15.6" x14ac:dyDescent="0.3">
      <c r="A298" s="4" t="s">
        <v>352</v>
      </c>
      <c r="B298" s="5">
        <f t="shared" si="4"/>
        <v>45936</v>
      </c>
      <c r="C298" s="6" t="s">
        <v>30</v>
      </c>
      <c r="D298" s="6" t="s">
        <v>50</v>
      </c>
      <c r="E298" s="6" t="s">
        <v>35</v>
      </c>
      <c r="F298" s="6" t="s">
        <v>18</v>
      </c>
      <c r="G298" s="6" t="s">
        <v>37</v>
      </c>
      <c r="H298" s="6" t="s">
        <v>56</v>
      </c>
      <c r="I298" s="6">
        <v>5</v>
      </c>
      <c r="J298" s="6">
        <v>2500</v>
      </c>
      <c r="K298" s="12">
        <v>10</v>
      </c>
      <c r="L298" s="13">
        <v>11250</v>
      </c>
      <c r="M298" s="13">
        <v>9563.9599999999991</v>
      </c>
      <c r="N298" s="6">
        <v>1686.04</v>
      </c>
      <c r="O298" s="6" t="s">
        <v>28</v>
      </c>
      <c r="P298" s="14">
        <v>45936</v>
      </c>
    </row>
    <row r="299" spans="1:16" ht="15.6" x14ac:dyDescent="0.3">
      <c r="A299" s="7" t="s">
        <v>353</v>
      </c>
      <c r="B299" s="8">
        <f t="shared" si="4"/>
        <v>45773</v>
      </c>
      <c r="C299" s="9" t="s">
        <v>15</v>
      </c>
      <c r="D299" s="9" t="s">
        <v>55</v>
      </c>
      <c r="E299" s="9" t="s">
        <v>48</v>
      </c>
      <c r="F299" s="9" t="s">
        <v>18</v>
      </c>
      <c r="G299" s="9" t="s">
        <v>26</v>
      </c>
      <c r="H299" s="9" t="s">
        <v>70</v>
      </c>
      <c r="I299" s="9">
        <v>10</v>
      </c>
      <c r="J299" s="9">
        <v>10000</v>
      </c>
      <c r="K299" s="15">
        <v>15</v>
      </c>
      <c r="L299" s="16">
        <v>85000</v>
      </c>
      <c r="M299" s="16">
        <v>75888.3</v>
      </c>
      <c r="N299" s="9">
        <v>9111.7000000000007</v>
      </c>
      <c r="O299" s="9" t="s">
        <v>28</v>
      </c>
      <c r="P299" s="17">
        <v>45773</v>
      </c>
    </row>
    <row r="300" spans="1:16" ht="15.6" x14ac:dyDescent="0.3">
      <c r="A300" s="4" t="s">
        <v>354</v>
      </c>
      <c r="B300" s="5">
        <f t="shared" si="4"/>
        <v>45741</v>
      </c>
      <c r="C300" s="6" t="s">
        <v>40</v>
      </c>
      <c r="D300" s="6" t="s">
        <v>41</v>
      </c>
      <c r="E300" s="6" t="s">
        <v>17</v>
      </c>
      <c r="F300" s="6" t="s">
        <v>18</v>
      </c>
      <c r="G300" s="6" t="s">
        <v>19</v>
      </c>
      <c r="H300" s="6" t="s">
        <v>20</v>
      </c>
      <c r="I300" s="6">
        <v>10</v>
      </c>
      <c r="J300" s="6">
        <v>12000</v>
      </c>
      <c r="K300" s="12">
        <v>10</v>
      </c>
      <c r="L300" s="13">
        <v>108000</v>
      </c>
      <c r="M300" s="13">
        <v>80290.81</v>
      </c>
      <c r="N300" s="6">
        <v>27709.19</v>
      </c>
      <c r="O300" s="6" t="s">
        <v>28</v>
      </c>
      <c r="P300" s="14">
        <v>45741</v>
      </c>
    </row>
    <row r="301" spans="1:16" ht="15.6" x14ac:dyDescent="0.3">
      <c r="A301" s="7" t="s">
        <v>355</v>
      </c>
      <c r="B301" s="8">
        <f t="shared" si="4"/>
        <v>45924</v>
      </c>
      <c r="C301" s="9" t="s">
        <v>15</v>
      </c>
      <c r="D301" s="9" t="s">
        <v>16</v>
      </c>
      <c r="E301" s="9" t="s">
        <v>25</v>
      </c>
      <c r="F301" s="9" t="s">
        <v>62</v>
      </c>
      <c r="G301" s="9" t="s">
        <v>19</v>
      </c>
      <c r="H301" s="9" t="s">
        <v>20</v>
      </c>
      <c r="I301" s="9">
        <v>1</v>
      </c>
      <c r="J301" s="9">
        <v>12000</v>
      </c>
      <c r="K301" s="15">
        <v>15</v>
      </c>
      <c r="L301" s="16">
        <v>10200</v>
      </c>
      <c r="M301" s="16">
        <v>8761.7099999999991</v>
      </c>
      <c r="N301" s="9">
        <v>1438.29</v>
      </c>
      <c r="O301" s="9" t="s">
        <v>21</v>
      </c>
      <c r="P301" s="17">
        <v>45924</v>
      </c>
    </row>
    <row r="302" spans="1:16" ht="15.6" x14ac:dyDescent="0.3">
      <c r="A302" s="4" t="s">
        <v>356</v>
      </c>
      <c r="B302" s="5">
        <f t="shared" si="4"/>
        <v>45977</v>
      </c>
      <c r="C302" s="6" t="s">
        <v>40</v>
      </c>
      <c r="D302" s="6" t="s">
        <v>61</v>
      </c>
      <c r="E302" s="6" t="s">
        <v>35</v>
      </c>
      <c r="F302" s="6" t="s">
        <v>65</v>
      </c>
      <c r="G302" s="6" t="s">
        <v>37</v>
      </c>
      <c r="H302" s="6" t="s">
        <v>38</v>
      </c>
      <c r="I302" s="6">
        <v>1</v>
      </c>
      <c r="J302" s="6">
        <v>900</v>
      </c>
      <c r="K302" s="12">
        <v>10</v>
      </c>
      <c r="L302" s="13">
        <v>810</v>
      </c>
      <c r="M302" s="13">
        <v>612.66999999999996</v>
      </c>
      <c r="N302" s="6">
        <v>197.33</v>
      </c>
      <c r="O302" s="6" t="s">
        <v>21</v>
      </c>
      <c r="P302" s="14">
        <v>45977</v>
      </c>
    </row>
    <row r="303" spans="1:16" ht="15.6" x14ac:dyDescent="0.3">
      <c r="A303" s="7" t="s">
        <v>357</v>
      </c>
      <c r="B303" s="8">
        <f t="shared" si="4"/>
        <v>45710</v>
      </c>
      <c r="C303" s="9" t="s">
        <v>40</v>
      </c>
      <c r="D303" s="9" t="s">
        <v>92</v>
      </c>
      <c r="E303" s="9" t="s">
        <v>48</v>
      </c>
      <c r="F303" s="9" t="s">
        <v>18</v>
      </c>
      <c r="G303" s="9" t="s">
        <v>37</v>
      </c>
      <c r="H303" s="9" t="s">
        <v>56</v>
      </c>
      <c r="I303" s="9">
        <v>10</v>
      </c>
      <c r="J303" s="9">
        <v>2500</v>
      </c>
      <c r="K303" s="15">
        <v>5</v>
      </c>
      <c r="L303" s="16">
        <v>23750</v>
      </c>
      <c r="M303" s="16">
        <v>20608.98</v>
      </c>
      <c r="N303" s="9">
        <v>3141.02</v>
      </c>
      <c r="O303" s="9" t="s">
        <v>33</v>
      </c>
      <c r="P303" s="17">
        <v>45710</v>
      </c>
    </row>
    <row r="304" spans="1:16" ht="15.6" x14ac:dyDescent="0.3">
      <c r="A304" s="4" t="s">
        <v>358</v>
      </c>
      <c r="B304" s="5">
        <f t="shared" si="4"/>
        <v>45878</v>
      </c>
      <c r="C304" s="6" t="s">
        <v>30</v>
      </c>
      <c r="D304" s="6" t="s">
        <v>31</v>
      </c>
      <c r="E304" s="6" t="s">
        <v>59</v>
      </c>
      <c r="F304" s="6" t="s">
        <v>36</v>
      </c>
      <c r="G304" s="6" t="s">
        <v>19</v>
      </c>
      <c r="H304" s="6" t="s">
        <v>20</v>
      </c>
      <c r="I304" s="6">
        <v>5</v>
      </c>
      <c r="J304" s="6">
        <v>12000</v>
      </c>
      <c r="K304" s="12">
        <v>0</v>
      </c>
      <c r="L304" s="13">
        <v>60000</v>
      </c>
      <c r="M304" s="13">
        <v>53507.59</v>
      </c>
      <c r="N304" s="6">
        <v>6492.41</v>
      </c>
      <c r="O304" s="6" t="s">
        <v>28</v>
      </c>
      <c r="P304" s="14">
        <v>45878</v>
      </c>
    </row>
    <row r="305" spans="1:16" ht="15.6" x14ac:dyDescent="0.3">
      <c r="A305" s="7" t="s">
        <v>359</v>
      </c>
      <c r="B305" s="8">
        <f t="shared" si="4"/>
        <v>45872</v>
      </c>
      <c r="C305" s="9" t="s">
        <v>30</v>
      </c>
      <c r="D305" s="9" t="s">
        <v>31</v>
      </c>
      <c r="E305" s="9" t="s">
        <v>48</v>
      </c>
      <c r="F305" s="9" t="s">
        <v>42</v>
      </c>
      <c r="G305" s="9" t="s">
        <v>26</v>
      </c>
      <c r="H305" s="9" t="s">
        <v>70</v>
      </c>
      <c r="I305" s="9">
        <v>1</v>
      </c>
      <c r="J305" s="9">
        <v>10000</v>
      </c>
      <c r="K305" s="15">
        <v>15</v>
      </c>
      <c r="L305" s="16">
        <v>8500</v>
      </c>
      <c r="M305" s="16">
        <v>6862.11</v>
      </c>
      <c r="N305" s="9">
        <v>1637.89</v>
      </c>
      <c r="O305" s="9" t="s">
        <v>33</v>
      </c>
      <c r="P305" s="17">
        <v>45872</v>
      </c>
    </row>
    <row r="306" spans="1:16" ht="15.6" x14ac:dyDescent="0.3">
      <c r="A306" s="4" t="s">
        <v>360</v>
      </c>
      <c r="B306" s="5">
        <f t="shared" si="4"/>
        <v>45847</v>
      </c>
      <c r="C306" s="6" t="s">
        <v>30</v>
      </c>
      <c r="D306" s="6" t="s">
        <v>50</v>
      </c>
      <c r="E306" s="6" t="s">
        <v>17</v>
      </c>
      <c r="F306" s="6" t="s">
        <v>36</v>
      </c>
      <c r="G306" s="6" t="s">
        <v>26</v>
      </c>
      <c r="H306" s="6" t="s">
        <v>70</v>
      </c>
      <c r="I306" s="6">
        <v>5</v>
      </c>
      <c r="J306" s="6">
        <v>10000</v>
      </c>
      <c r="K306" s="12">
        <v>0</v>
      </c>
      <c r="L306" s="13">
        <v>50000</v>
      </c>
      <c r="M306" s="13">
        <v>36412.559999999998</v>
      </c>
      <c r="N306" s="6">
        <v>13587.44</v>
      </c>
      <c r="O306" s="6" t="s">
        <v>44</v>
      </c>
      <c r="P306" s="14">
        <v>45847</v>
      </c>
    </row>
    <row r="307" spans="1:16" ht="15.6" x14ac:dyDescent="0.3">
      <c r="A307" s="7" t="s">
        <v>361</v>
      </c>
      <c r="B307" s="8">
        <f t="shared" si="4"/>
        <v>45910</v>
      </c>
      <c r="C307" s="9" t="s">
        <v>40</v>
      </c>
      <c r="D307" s="9" t="s">
        <v>41</v>
      </c>
      <c r="E307" s="9" t="s">
        <v>17</v>
      </c>
      <c r="F307" s="9" t="s">
        <v>62</v>
      </c>
      <c r="G307" s="9" t="s">
        <v>26</v>
      </c>
      <c r="H307" s="9" t="s">
        <v>70</v>
      </c>
      <c r="I307" s="9">
        <v>6</v>
      </c>
      <c r="J307" s="9">
        <v>10000</v>
      </c>
      <c r="K307" s="15">
        <v>0</v>
      </c>
      <c r="L307" s="16">
        <v>60000</v>
      </c>
      <c r="M307" s="16">
        <v>39481.870000000003</v>
      </c>
      <c r="N307" s="9">
        <v>20518.13</v>
      </c>
      <c r="O307" s="9" t="s">
        <v>21</v>
      </c>
      <c r="P307" s="17">
        <v>45910</v>
      </c>
    </row>
    <row r="308" spans="1:16" ht="15.6" x14ac:dyDescent="0.3">
      <c r="A308" s="4" t="s">
        <v>362</v>
      </c>
      <c r="B308" s="5">
        <f t="shared" si="4"/>
        <v>45998</v>
      </c>
      <c r="C308" s="6" t="s">
        <v>15</v>
      </c>
      <c r="D308" s="6" t="s">
        <v>55</v>
      </c>
      <c r="E308" s="6" t="s">
        <v>35</v>
      </c>
      <c r="F308" s="6" t="s">
        <v>18</v>
      </c>
      <c r="G308" s="6" t="s">
        <v>37</v>
      </c>
      <c r="H308" s="6" t="s">
        <v>38</v>
      </c>
      <c r="I308" s="6">
        <v>2</v>
      </c>
      <c r="J308" s="6">
        <v>900</v>
      </c>
      <c r="K308" s="12">
        <v>10</v>
      </c>
      <c r="L308" s="13">
        <v>1620</v>
      </c>
      <c r="M308" s="13">
        <v>1400.81</v>
      </c>
      <c r="N308" s="6">
        <v>219.19</v>
      </c>
      <c r="O308" s="6" t="s">
        <v>44</v>
      </c>
      <c r="P308" s="14">
        <v>45998</v>
      </c>
    </row>
    <row r="309" spans="1:16" ht="15.6" x14ac:dyDescent="0.3">
      <c r="A309" s="7" t="s">
        <v>363</v>
      </c>
      <c r="B309" s="8">
        <f t="shared" si="4"/>
        <v>45832</v>
      </c>
      <c r="C309" s="9" t="s">
        <v>15</v>
      </c>
      <c r="D309" s="9" t="s">
        <v>16</v>
      </c>
      <c r="E309" s="9" t="s">
        <v>35</v>
      </c>
      <c r="F309" s="9" t="s">
        <v>51</v>
      </c>
      <c r="G309" s="9" t="s">
        <v>26</v>
      </c>
      <c r="H309" s="9" t="s">
        <v>27</v>
      </c>
      <c r="I309" s="9">
        <v>10</v>
      </c>
      <c r="J309" s="9">
        <v>6000</v>
      </c>
      <c r="K309" s="15">
        <v>10</v>
      </c>
      <c r="L309" s="16">
        <v>54000</v>
      </c>
      <c r="M309" s="16">
        <v>39498.879999999997</v>
      </c>
      <c r="N309" s="9">
        <v>14501.12</v>
      </c>
      <c r="O309" s="9" t="s">
        <v>21</v>
      </c>
      <c r="P309" s="17">
        <v>45832</v>
      </c>
    </row>
    <row r="310" spans="1:16" ht="15.6" x14ac:dyDescent="0.3">
      <c r="A310" s="4" t="s">
        <v>364</v>
      </c>
      <c r="B310" s="5">
        <f t="shared" si="4"/>
        <v>45775</v>
      </c>
      <c r="C310" s="6" t="s">
        <v>23</v>
      </c>
      <c r="D310" s="6" t="s">
        <v>24</v>
      </c>
      <c r="E310" s="6" t="s">
        <v>25</v>
      </c>
      <c r="F310" s="6" t="s">
        <v>51</v>
      </c>
      <c r="G310" s="6" t="s">
        <v>19</v>
      </c>
      <c r="H310" s="6" t="s">
        <v>52</v>
      </c>
      <c r="I310" s="6">
        <v>2</v>
      </c>
      <c r="J310" s="6">
        <v>1500</v>
      </c>
      <c r="K310" s="12">
        <v>0</v>
      </c>
      <c r="L310" s="13">
        <v>3000</v>
      </c>
      <c r="M310" s="13">
        <v>2400.91</v>
      </c>
      <c r="N310" s="6">
        <v>599.09</v>
      </c>
      <c r="O310" s="6" t="s">
        <v>21</v>
      </c>
      <c r="P310" s="14">
        <v>45775</v>
      </c>
    </row>
    <row r="311" spans="1:16" ht="15.6" x14ac:dyDescent="0.3">
      <c r="A311" s="7" t="s">
        <v>365</v>
      </c>
      <c r="B311" s="8">
        <f t="shared" si="4"/>
        <v>45803</v>
      </c>
      <c r="C311" s="9" t="s">
        <v>15</v>
      </c>
      <c r="D311" s="9" t="s">
        <v>16</v>
      </c>
      <c r="E311" s="9" t="s">
        <v>35</v>
      </c>
      <c r="F311" s="9" t="s">
        <v>65</v>
      </c>
      <c r="G311" s="9" t="s">
        <v>26</v>
      </c>
      <c r="H311" s="9" t="s">
        <v>70</v>
      </c>
      <c r="I311" s="9">
        <v>9</v>
      </c>
      <c r="J311" s="9">
        <v>10000</v>
      </c>
      <c r="K311" s="15">
        <v>15</v>
      </c>
      <c r="L311" s="16">
        <v>76500</v>
      </c>
      <c r="M311" s="16">
        <v>66539.899999999994</v>
      </c>
      <c r="N311" s="9">
        <v>9960.1</v>
      </c>
      <c r="O311" s="9" t="s">
        <v>33</v>
      </c>
      <c r="P311" s="17">
        <v>45803</v>
      </c>
    </row>
    <row r="312" spans="1:16" ht="15.6" x14ac:dyDescent="0.3">
      <c r="A312" s="4" t="s">
        <v>366</v>
      </c>
      <c r="B312" s="5">
        <f t="shared" si="4"/>
        <v>45769</v>
      </c>
      <c r="C312" s="6" t="s">
        <v>15</v>
      </c>
      <c r="D312" s="6" t="s">
        <v>16</v>
      </c>
      <c r="E312" s="6" t="s">
        <v>35</v>
      </c>
      <c r="F312" s="6" t="s">
        <v>51</v>
      </c>
      <c r="G312" s="6" t="s">
        <v>26</v>
      </c>
      <c r="H312" s="6" t="s">
        <v>70</v>
      </c>
      <c r="I312" s="6">
        <v>2</v>
      </c>
      <c r="J312" s="6">
        <v>10000</v>
      </c>
      <c r="K312" s="12">
        <v>10</v>
      </c>
      <c r="L312" s="13">
        <v>18000</v>
      </c>
      <c r="M312" s="13">
        <v>14912.48</v>
      </c>
      <c r="N312" s="6">
        <v>3087.52</v>
      </c>
      <c r="O312" s="6" t="s">
        <v>21</v>
      </c>
      <c r="P312" s="14">
        <v>45769</v>
      </c>
    </row>
    <row r="313" spans="1:16" ht="15.6" x14ac:dyDescent="0.3">
      <c r="A313" s="7" t="s">
        <v>367</v>
      </c>
      <c r="B313" s="8">
        <f t="shared" si="4"/>
        <v>45779</v>
      </c>
      <c r="C313" s="9" t="s">
        <v>40</v>
      </c>
      <c r="D313" s="9" t="s">
        <v>92</v>
      </c>
      <c r="E313" s="9" t="s">
        <v>25</v>
      </c>
      <c r="F313" s="9" t="s">
        <v>36</v>
      </c>
      <c r="G313" s="9" t="s">
        <v>37</v>
      </c>
      <c r="H313" s="9" t="s">
        <v>56</v>
      </c>
      <c r="I313" s="9">
        <v>3</v>
      </c>
      <c r="J313" s="9">
        <v>2500</v>
      </c>
      <c r="K313" s="15">
        <v>5</v>
      </c>
      <c r="L313" s="16">
        <v>7125</v>
      </c>
      <c r="M313" s="16">
        <v>5376.08</v>
      </c>
      <c r="N313" s="9">
        <v>1748.92</v>
      </c>
      <c r="O313" s="9" t="s">
        <v>28</v>
      </c>
      <c r="P313" s="17">
        <v>45779</v>
      </c>
    </row>
    <row r="314" spans="1:16" ht="15.6" x14ac:dyDescent="0.3">
      <c r="A314" s="4" t="s">
        <v>368</v>
      </c>
      <c r="B314" s="5">
        <f t="shared" si="4"/>
        <v>45836</v>
      </c>
      <c r="C314" s="6" t="s">
        <v>40</v>
      </c>
      <c r="D314" s="6" t="s">
        <v>92</v>
      </c>
      <c r="E314" s="6" t="s">
        <v>48</v>
      </c>
      <c r="F314" s="6" t="s">
        <v>65</v>
      </c>
      <c r="G314" s="6" t="s">
        <v>37</v>
      </c>
      <c r="H314" s="6" t="s">
        <v>72</v>
      </c>
      <c r="I314" s="6">
        <v>8</v>
      </c>
      <c r="J314" s="6">
        <v>800</v>
      </c>
      <c r="K314" s="12">
        <v>5</v>
      </c>
      <c r="L314" s="13">
        <v>6080</v>
      </c>
      <c r="M314" s="13">
        <v>5152.6000000000004</v>
      </c>
      <c r="N314" s="6">
        <v>927.4</v>
      </c>
      <c r="O314" s="6" t="s">
        <v>44</v>
      </c>
      <c r="P314" s="14">
        <v>45836</v>
      </c>
    </row>
    <row r="315" spans="1:16" ht="15.6" x14ac:dyDescent="0.3">
      <c r="A315" s="7" t="s">
        <v>369</v>
      </c>
      <c r="B315" s="8">
        <f t="shared" si="4"/>
        <v>45674</v>
      </c>
      <c r="C315" s="9" t="s">
        <v>15</v>
      </c>
      <c r="D315" s="9" t="s">
        <v>55</v>
      </c>
      <c r="E315" s="9" t="s">
        <v>25</v>
      </c>
      <c r="F315" s="9" t="s">
        <v>42</v>
      </c>
      <c r="G315" s="9" t="s">
        <v>37</v>
      </c>
      <c r="H315" s="9" t="s">
        <v>56</v>
      </c>
      <c r="I315" s="9">
        <v>2</v>
      </c>
      <c r="J315" s="9">
        <v>2500</v>
      </c>
      <c r="K315" s="15">
        <v>15</v>
      </c>
      <c r="L315" s="16">
        <v>4250</v>
      </c>
      <c r="M315" s="16">
        <v>3679.45</v>
      </c>
      <c r="N315" s="9">
        <v>570.54999999999995</v>
      </c>
      <c r="O315" s="9" t="s">
        <v>44</v>
      </c>
      <c r="P315" s="17">
        <v>45674</v>
      </c>
    </row>
    <row r="316" spans="1:16" ht="15.6" x14ac:dyDescent="0.3">
      <c r="A316" s="4" t="s">
        <v>370</v>
      </c>
      <c r="B316" s="5">
        <f t="shared" si="4"/>
        <v>45784</v>
      </c>
      <c r="C316" s="6" t="s">
        <v>15</v>
      </c>
      <c r="D316" s="6" t="s">
        <v>55</v>
      </c>
      <c r="E316" s="6" t="s">
        <v>25</v>
      </c>
      <c r="F316" s="6" t="s">
        <v>62</v>
      </c>
      <c r="G316" s="6" t="s">
        <v>19</v>
      </c>
      <c r="H316" s="6" t="s">
        <v>52</v>
      </c>
      <c r="I316" s="6">
        <v>3</v>
      </c>
      <c r="J316" s="6">
        <v>1500</v>
      </c>
      <c r="K316" s="12">
        <v>5</v>
      </c>
      <c r="L316" s="13">
        <v>4275</v>
      </c>
      <c r="M316" s="13">
        <v>3458.77</v>
      </c>
      <c r="N316" s="6">
        <v>816.23</v>
      </c>
      <c r="O316" s="6" t="s">
        <v>33</v>
      </c>
      <c r="P316" s="14">
        <v>45784</v>
      </c>
    </row>
    <row r="317" spans="1:16" ht="15.6" x14ac:dyDescent="0.3">
      <c r="A317" s="7" t="s">
        <v>371</v>
      </c>
      <c r="B317" s="8">
        <f t="shared" si="4"/>
        <v>45756</v>
      </c>
      <c r="C317" s="9" t="s">
        <v>15</v>
      </c>
      <c r="D317" s="9" t="s">
        <v>16</v>
      </c>
      <c r="E317" s="9" t="s">
        <v>32</v>
      </c>
      <c r="F317" s="9" t="s">
        <v>42</v>
      </c>
      <c r="G317" s="9" t="s">
        <v>26</v>
      </c>
      <c r="H317" s="9" t="s">
        <v>70</v>
      </c>
      <c r="I317" s="9">
        <v>7</v>
      </c>
      <c r="J317" s="9">
        <v>10000</v>
      </c>
      <c r="K317" s="15">
        <v>15</v>
      </c>
      <c r="L317" s="16">
        <v>59500</v>
      </c>
      <c r="M317" s="16">
        <v>45558.15</v>
      </c>
      <c r="N317" s="9">
        <v>13941.85</v>
      </c>
      <c r="O317" s="9" t="s">
        <v>28</v>
      </c>
      <c r="P317" s="17">
        <v>45756</v>
      </c>
    </row>
    <row r="318" spans="1:16" ht="15.6" x14ac:dyDescent="0.3">
      <c r="A318" s="4" t="s">
        <v>372</v>
      </c>
      <c r="B318" s="5">
        <f t="shared" si="4"/>
        <v>45953</v>
      </c>
      <c r="C318" s="6" t="s">
        <v>23</v>
      </c>
      <c r="D318" s="6" t="s">
        <v>58</v>
      </c>
      <c r="E318" s="6" t="s">
        <v>32</v>
      </c>
      <c r="F318" s="6" t="s">
        <v>42</v>
      </c>
      <c r="G318" s="6" t="s">
        <v>37</v>
      </c>
      <c r="H318" s="6" t="s">
        <v>72</v>
      </c>
      <c r="I318" s="6">
        <v>4</v>
      </c>
      <c r="J318" s="6">
        <v>800</v>
      </c>
      <c r="K318" s="12">
        <v>5</v>
      </c>
      <c r="L318" s="13">
        <v>3040</v>
      </c>
      <c r="M318" s="13">
        <v>2724.62</v>
      </c>
      <c r="N318" s="6">
        <v>315.38</v>
      </c>
      <c r="O318" s="6" t="s">
        <v>28</v>
      </c>
      <c r="P318" s="14">
        <v>45953</v>
      </c>
    </row>
    <row r="319" spans="1:16" ht="15.6" x14ac:dyDescent="0.3">
      <c r="A319" s="7" t="s">
        <v>373</v>
      </c>
      <c r="B319" s="8">
        <f t="shared" si="4"/>
        <v>45800</v>
      </c>
      <c r="C319" s="9" t="s">
        <v>30</v>
      </c>
      <c r="D319" s="9" t="s">
        <v>31</v>
      </c>
      <c r="E319" s="9" t="s">
        <v>32</v>
      </c>
      <c r="F319" s="9" t="s">
        <v>62</v>
      </c>
      <c r="G319" s="9" t="s">
        <v>37</v>
      </c>
      <c r="H319" s="9" t="s">
        <v>56</v>
      </c>
      <c r="I319" s="9">
        <v>1</v>
      </c>
      <c r="J319" s="9">
        <v>2500</v>
      </c>
      <c r="K319" s="15">
        <v>15</v>
      </c>
      <c r="L319" s="16">
        <v>2125</v>
      </c>
      <c r="M319" s="16">
        <v>1479.25</v>
      </c>
      <c r="N319" s="9">
        <v>645.75</v>
      </c>
      <c r="O319" s="9" t="s">
        <v>33</v>
      </c>
      <c r="P319" s="17">
        <v>45800</v>
      </c>
    </row>
    <row r="320" spans="1:16" ht="15.6" x14ac:dyDescent="0.3">
      <c r="A320" s="4" t="s">
        <v>374</v>
      </c>
      <c r="B320" s="5">
        <f t="shared" si="4"/>
        <v>45967</v>
      </c>
      <c r="C320" s="6" t="s">
        <v>23</v>
      </c>
      <c r="D320" s="6" t="s">
        <v>24</v>
      </c>
      <c r="E320" s="6" t="s">
        <v>25</v>
      </c>
      <c r="F320" s="6" t="s">
        <v>18</v>
      </c>
      <c r="G320" s="6" t="s">
        <v>19</v>
      </c>
      <c r="H320" s="6" t="s">
        <v>52</v>
      </c>
      <c r="I320" s="6">
        <v>5</v>
      </c>
      <c r="J320" s="6">
        <v>1500</v>
      </c>
      <c r="K320" s="12">
        <v>5</v>
      </c>
      <c r="L320" s="13">
        <v>7125</v>
      </c>
      <c r="M320" s="13">
        <v>4846.8</v>
      </c>
      <c r="N320" s="6">
        <v>2278.1999999999998</v>
      </c>
      <c r="O320" s="6" t="s">
        <v>33</v>
      </c>
      <c r="P320" s="14">
        <v>45967</v>
      </c>
    </row>
    <row r="321" spans="1:16" ht="15.6" x14ac:dyDescent="0.3">
      <c r="A321" s="7" t="s">
        <v>375</v>
      </c>
      <c r="B321" s="8">
        <f t="shared" si="4"/>
        <v>45998</v>
      </c>
      <c r="C321" s="9" t="s">
        <v>23</v>
      </c>
      <c r="D321" s="9" t="s">
        <v>90</v>
      </c>
      <c r="E321" s="9" t="s">
        <v>32</v>
      </c>
      <c r="F321" s="9" t="s">
        <v>51</v>
      </c>
      <c r="G321" s="9" t="s">
        <v>37</v>
      </c>
      <c r="H321" s="9" t="s">
        <v>38</v>
      </c>
      <c r="I321" s="9">
        <v>7</v>
      </c>
      <c r="J321" s="9">
        <v>900</v>
      </c>
      <c r="K321" s="15">
        <v>5</v>
      </c>
      <c r="L321" s="16">
        <v>5985</v>
      </c>
      <c r="M321" s="16">
        <v>4267.18</v>
      </c>
      <c r="N321" s="9">
        <v>1717.82</v>
      </c>
      <c r="O321" s="9" t="s">
        <v>28</v>
      </c>
      <c r="P321" s="17">
        <v>45998</v>
      </c>
    </row>
    <row r="322" spans="1:16" ht="15.6" x14ac:dyDescent="0.3">
      <c r="A322" s="4" t="s">
        <v>376</v>
      </c>
      <c r="B322" s="5">
        <f t="shared" ref="B322:B385" si="5">DATE(YEAR(P322),MONTH(P322),DAY(P322))</f>
        <v>45842</v>
      </c>
      <c r="C322" s="6" t="s">
        <v>30</v>
      </c>
      <c r="D322" s="6" t="s">
        <v>31</v>
      </c>
      <c r="E322" s="6" t="s">
        <v>17</v>
      </c>
      <c r="F322" s="6" t="s">
        <v>18</v>
      </c>
      <c r="G322" s="6" t="s">
        <v>26</v>
      </c>
      <c r="H322" s="6" t="s">
        <v>27</v>
      </c>
      <c r="I322" s="6">
        <v>8</v>
      </c>
      <c r="J322" s="6">
        <v>6000</v>
      </c>
      <c r="K322" s="12">
        <v>15</v>
      </c>
      <c r="L322" s="13">
        <v>40800</v>
      </c>
      <c r="M322" s="13">
        <v>26649.360000000001</v>
      </c>
      <c r="N322" s="6">
        <v>14150.64</v>
      </c>
      <c r="O322" s="6" t="s">
        <v>28</v>
      </c>
      <c r="P322" s="14">
        <v>45842</v>
      </c>
    </row>
    <row r="323" spans="1:16" ht="15.6" x14ac:dyDescent="0.3">
      <c r="A323" s="7" t="s">
        <v>377</v>
      </c>
      <c r="B323" s="8">
        <f t="shared" si="5"/>
        <v>45669</v>
      </c>
      <c r="C323" s="9" t="s">
        <v>40</v>
      </c>
      <c r="D323" s="9" t="s">
        <v>61</v>
      </c>
      <c r="E323" s="9" t="s">
        <v>32</v>
      </c>
      <c r="F323" s="9" t="s">
        <v>42</v>
      </c>
      <c r="G323" s="9" t="s">
        <v>26</v>
      </c>
      <c r="H323" s="9" t="s">
        <v>70</v>
      </c>
      <c r="I323" s="9">
        <v>1</v>
      </c>
      <c r="J323" s="9">
        <v>10000</v>
      </c>
      <c r="K323" s="15">
        <v>15</v>
      </c>
      <c r="L323" s="16">
        <v>8500</v>
      </c>
      <c r="M323" s="16">
        <v>6271.95</v>
      </c>
      <c r="N323" s="9">
        <v>2228.0500000000002</v>
      </c>
      <c r="O323" s="9" t="s">
        <v>33</v>
      </c>
      <c r="P323" s="17">
        <v>45669</v>
      </c>
    </row>
    <row r="324" spans="1:16" ht="15.6" x14ac:dyDescent="0.3">
      <c r="A324" s="4" t="s">
        <v>378</v>
      </c>
      <c r="B324" s="5">
        <f t="shared" si="5"/>
        <v>45841</v>
      </c>
      <c r="C324" s="6" t="s">
        <v>23</v>
      </c>
      <c r="D324" s="6" t="s">
        <v>58</v>
      </c>
      <c r="E324" s="6" t="s">
        <v>17</v>
      </c>
      <c r="F324" s="6" t="s">
        <v>65</v>
      </c>
      <c r="G324" s="6" t="s">
        <v>37</v>
      </c>
      <c r="H324" s="6" t="s">
        <v>38</v>
      </c>
      <c r="I324" s="6">
        <v>1</v>
      </c>
      <c r="J324" s="6">
        <v>900</v>
      </c>
      <c r="K324" s="12">
        <v>5</v>
      </c>
      <c r="L324" s="13">
        <v>855</v>
      </c>
      <c r="M324" s="13">
        <v>760.81</v>
      </c>
      <c r="N324" s="6">
        <v>94.19</v>
      </c>
      <c r="O324" s="6" t="s">
        <v>33</v>
      </c>
      <c r="P324" s="14">
        <v>45841</v>
      </c>
    </row>
    <row r="325" spans="1:16" ht="15.6" x14ac:dyDescent="0.3">
      <c r="A325" s="7" t="s">
        <v>379</v>
      </c>
      <c r="B325" s="8">
        <f t="shared" si="5"/>
        <v>45726</v>
      </c>
      <c r="C325" s="9" t="s">
        <v>15</v>
      </c>
      <c r="D325" s="9" t="s">
        <v>55</v>
      </c>
      <c r="E325" s="9" t="s">
        <v>48</v>
      </c>
      <c r="F325" s="9" t="s">
        <v>65</v>
      </c>
      <c r="G325" s="9" t="s">
        <v>26</v>
      </c>
      <c r="H325" s="9" t="s">
        <v>27</v>
      </c>
      <c r="I325" s="9">
        <v>6</v>
      </c>
      <c r="J325" s="9">
        <v>6000</v>
      </c>
      <c r="K325" s="15">
        <v>10</v>
      </c>
      <c r="L325" s="16">
        <v>32400</v>
      </c>
      <c r="M325" s="16">
        <v>22407.7</v>
      </c>
      <c r="N325" s="9">
        <v>9992.2999999999993</v>
      </c>
      <c r="O325" s="9" t="s">
        <v>28</v>
      </c>
      <c r="P325" s="17">
        <v>45726</v>
      </c>
    </row>
    <row r="326" spans="1:16" ht="15.6" x14ac:dyDescent="0.3">
      <c r="A326" s="4" t="s">
        <v>380</v>
      </c>
      <c r="B326" s="5">
        <f t="shared" si="5"/>
        <v>45817</v>
      </c>
      <c r="C326" s="6" t="s">
        <v>40</v>
      </c>
      <c r="D326" s="6" t="s">
        <v>41</v>
      </c>
      <c r="E326" s="6" t="s">
        <v>17</v>
      </c>
      <c r="F326" s="6" t="s">
        <v>42</v>
      </c>
      <c r="G326" s="6" t="s">
        <v>37</v>
      </c>
      <c r="H326" s="6" t="s">
        <v>72</v>
      </c>
      <c r="I326" s="6">
        <v>1</v>
      </c>
      <c r="J326" s="6">
        <v>800</v>
      </c>
      <c r="K326" s="12">
        <v>0</v>
      </c>
      <c r="L326" s="13">
        <v>800</v>
      </c>
      <c r="M326" s="13">
        <v>569.20000000000005</v>
      </c>
      <c r="N326" s="6">
        <v>230.8</v>
      </c>
      <c r="O326" s="6" t="s">
        <v>28</v>
      </c>
      <c r="P326" s="14">
        <v>45817</v>
      </c>
    </row>
    <row r="327" spans="1:16" ht="15.6" x14ac:dyDescent="0.3">
      <c r="A327" s="7" t="s">
        <v>381</v>
      </c>
      <c r="B327" s="8">
        <f t="shared" si="5"/>
        <v>45704</v>
      </c>
      <c r="C327" s="9" t="s">
        <v>30</v>
      </c>
      <c r="D327" s="9" t="s">
        <v>50</v>
      </c>
      <c r="E327" s="9" t="s">
        <v>25</v>
      </c>
      <c r="F327" s="9" t="s">
        <v>18</v>
      </c>
      <c r="G327" s="9" t="s">
        <v>19</v>
      </c>
      <c r="H327" s="9" t="s">
        <v>43</v>
      </c>
      <c r="I327" s="9">
        <v>1</v>
      </c>
      <c r="J327" s="9">
        <v>55000</v>
      </c>
      <c r="K327" s="15">
        <v>5</v>
      </c>
      <c r="L327" s="16">
        <v>52250</v>
      </c>
      <c r="M327" s="16">
        <v>38928.83</v>
      </c>
      <c r="N327" s="9">
        <v>13321.17</v>
      </c>
      <c r="O327" s="9" t="s">
        <v>33</v>
      </c>
      <c r="P327" s="17">
        <v>45704</v>
      </c>
    </row>
    <row r="328" spans="1:16" ht="15.6" x14ac:dyDescent="0.3">
      <c r="A328" s="4" t="s">
        <v>382</v>
      </c>
      <c r="B328" s="5">
        <f t="shared" si="5"/>
        <v>45878</v>
      </c>
      <c r="C328" s="6" t="s">
        <v>30</v>
      </c>
      <c r="D328" s="6" t="s">
        <v>50</v>
      </c>
      <c r="E328" s="6" t="s">
        <v>35</v>
      </c>
      <c r="F328" s="6" t="s">
        <v>42</v>
      </c>
      <c r="G328" s="6" t="s">
        <v>26</v>
      </c>
      <c r="H328" s="6" t="s">
        <v>70</v>
      </c>
      <c r="I328" s="6">
        <v>2</v>
      </c>
      <c r="J328" s="6">
        <v>10000</v>
      </c>
      <c r="K328" s="12">
        <v>15</v>
      </c>
      <c r="L328" s="13">
        <v>17000</v>
      </c>
      <c r="M328" s="13">
        <v>11110.8</v>
      </c>
      <c r="N328" s="6">
        <v>5889.2</v>
      </c>
      <c r="O328" s="6" t="s">
        <v>21</v>
      </c>
      <c r="P328" s="14">
        <v>45878</v>
      </c>
    </row>
    <row r="329" spans="1:16" ht="15.6" x14ac:dyDescent="0.3">
      <c r="A329" s="7" t="s">
        <v>383</v>
      </c>
      <c r="B329" s="8">
        <f t="shared" si="5"/>
        <v>45707</v>
      </c>
      <c r="C329" s="9" t="s">
        <v>40</v>
      </c>
      <c r="D329" s="9" t="s">
        <v>61</v>
      </c>
      <c r="E329" s="9" t="s">
        <v>25</v>
      </c>
      <c r="F329" s="9" t="s">
        <v>42</v>
      </c>
      <c r="G329" s="9" t="s">
        <v>37</v>
      </c>
      <c r="H329" s="9" t="s">
        <v>72</v>
      </c>
      <c r="I329" s="9">
        <v>1</v>
      </c>
      <c r="J329" s="9">
        <v>800</v>
      </c>
      <c r="K329" s="15">
        <v>10</v>
      </c>
      <c r="L329" s="16">
        <v>720</v>
      </c>
      <c r="M329" s="16">
        <v>496.77</v>
      </c>
      <c r="N329" s="9">
        <v>223.23</v>
      </c>
      <c r="O329" s="9" t="s">
        <v>21</v>
      </c>
      <c r="P329" s="17">
        <v>45707</v>
      </c>
    </row>
    <row r="330" spans="1:16" ht="15.6" x14ac:dyDescent="0.3">
      <c r="A330" s="4" t="s">
        <v>384</v>
      </c>
      <c r="B330" s="5">
        <f t="shared" si="5"/>
        <v>45921</v>
      </c>
      <c r="C330" s="6" t="s">
        <v>23</v>
      </c>
      <c r="D330" s="6" t="s">
        <v>24</v>
      </c>
      <c r="E330" s="6" t="s">
        <v>48</v>
      </c>
      <c r="F330" s="6" t="s">
        <v>62</v>
      </c>
      <c r="G330" s="6" t="s">
        <v>37</v>
      </c>
      <c r="H330" s="6" t="s">
        <v>56</v>
      </c>
      <c r="I330" s="6">
        <v>4</v>
      </c>
      <c r="J330" s="6">
        <v>2500</v>
      </c>
      <c r="K330" s="12">
        <v>15</v>
      </c>
      <c r="L330" s="13">
        <v>8500</v>
      </c>
      <c r="M330" s="13">
        <v>6506.15</v>
      </c>
      <c r="N330" s="6">
        <v>1993.85</v>
      </c>
      <c r="O330" s="6" t="s">
        <v>33</v>
      </c>
      <c r="P330" s="14">
        <v>45921</v>
      </c>
    </row>
    <row r="331" spans="1:16" ht="15.6" x14ac:dyDescent="0.3">
      <c r="A331" s="7" t="s">
        <v>385</v>
      </c>
      <c r="B331" s="8">
        <f t="shared" si="5"/>
        <v>45737</v>
      </c>
      <c r="C331" s="9" t="s">
        <v>40</v>
      </c>
      <c r="D331" s="9" t="s">
        <v>92</v>
      </c>
      <c r="E331" s="9" t="s">
        <v>59</v>
      </c>
      <c r="F331" s="9" t="s">
        <v>65</v>
      </c>
      <c r="G331" s="9" t="s">
        <v>19</v>
      </c>
      <c r="H331" s="9" t="s">
        <v>52</v>
      </c>
      <c r="I331" s="9">
        <v>7</v>
      </c>
      <c r="J331" s="9">
        <v>1500</v>
      </c>
      <c r="K331" s="15">
        <v>10</v>
      </c>
      <c r="L331" s="16">
        <v>9450</v>
      </c>
      <c r="M331" s="16">
        <v>8386.07</v>
      </c>
      <c r="N331" s="9">
        <v>1063.93</v>
      </c>
      <c r="O331" s="9" t="s">
        <v>21</v>
      </c>
      <c r="P331" s="17">
        <v>45737</v>
      </c>
    </row>
    <row r="332" spans="1:16" ht="15.6" x14ac:dyDescent="0.3">
      <c r="A332" s="4" t="s">
        <v>386</v>
      </c>
      <c r="B332" s="5">
        <f t="shared" si="5"/>
        <v>45725</v>
      </c>
      <c r="C332" s="6" t="s">
        <v>40</v>
      </c>
      <c r="D332" s="6" t="s">
        <v>61</v>
      </c>
      <c r="E332" s="6" t="s">
        <v>59</v>
      </c>
      <c r="F332" s="6" t="s">
        <v>65</v>
      </c>
      <c r="G332" s="6" t="s">
        <v>26</v>
      </c>
      <c r="H332" s="6" t="s">
        <v>70</v>
      </c>
      <c r="I332" s="6">
        <v>4</v>
      </c>
      <c r="J332" s="6">
        <v>10000</v>
      </c>
      <c r="K332" s="12">
        <v>0</v>
      </c>
      <c r="L332" s="13">
        <v>40000</v>
      </c>
      <c r="M332" s="13">
        <v>31386.54</v>
      </c>
      <c r="N332" s="6">
        <v>8613.4599999999991</v>
      </c>
      <c r="O332" s="6" t="s">
        <v>44</v>
      </c>
      <c r="P332" s="14">
        <v>45725</v>
      </c>
    </row>
    <row r="333" spans="1:16" ht="15.6" x14ac:dyDescent="0.3">
      <c r="A333" s="7" t="s">
        <v>387</v>
      </c>
      <c r="B333" s="8">
        <f t="shared" si="5"/>
        <v>45895</v>
      </c>
      <c r="C333" s="9" t="s">
        <v>40</v>
      </c>
      <c r="D333" s="9" t="s">
        <v>61</v>
      </c>
      <c r="E333" s="9" t="s">
        <v>17</v>
      </c>
      <c r="F333" s="9" t="s">
        <v>62</v>
      </c>
      <c r="G333" s="9" t="s">
        <v>37</v>
      </c>
      <c r="H333" s="9" t="s">
        <v>38</v>
      </c>
      <c r="I333" s="9">
        <v>2</v>
      </c>
      <c r="J333" s="9">
        <v>900</v>
      </c>
      <c r="K333" s="15">
        <v>10</v>
      </c>
      <c r="L333" s="16">
        <v>1620</v>
      </c>
      <c r="M333" s="16">
        <v>1069.1500000000001</v>
      </c>
      <c r="N333" s="9">
        <v>550.85</v>
      </c>
      <c r="O333" s="9" t="s">
        <v>33</v>
      </c>
      <c r="P333" s="17">
        <v>45895</v>
      </c>
    </row>
    <row r="334" spans="1:16" ht="15.6" x14ac:dyDescent="0.3">
      <c r="A334" s="4" t="s">
        <v>388</v>
      </c>
      <c r="B334" s="5">
        <f t="shared" si="5"/>
        <v>45800</v>
      </c>
      <c r="C334" s="6" t="s">
        <v>40</v>
      </c>
      <c r="D334" s="6" t="s">
        <v>61</v>
      </c>
      <c r="E334" s="6" t="s">
        <v>32</v>
      </c>
      <c r="F334" s="6" t="s">
        <v>51</v>
      </c>
      <c r="G334" s="6" t="s">
        <v>37</v>
      </c>
      <c r="H334" s="6" t="s">
        <v>56</v>
      </c>
      <c r="I334" s="6">
        <v>7</v>
      </c>
      <c r="J334" s="6">
        <v>2500</v>
      </c>
      <c r="K334" s="12">
        <v>0</v>
      </c>
      <c r="L334" s="13">
        <v>17500</v>
      </c>
      <c r="M334" s="13">
        <v>14501.15</v>
      </c>
      <c r="N334" s="6">
        <v>2998.85</v>
      </c>
      <c r="O334" s="6" t="s">
        <v>21</v>
      </c>
      <c r="P334" s="14">
        <v>45800</v>
      </c>
    </row>
    <row r="335" spans="1:16" ht="15.6" x14ac:dyDescent="0.3">
      <c r="A335" s="7" t="s">
        <v>389</v>
      </c>
      <c r="B335" s="8">
        <f t="shared" si="5"/>
        <v>45764</v>
      </c>
      <c r="C335" s="9" t="s">
        <v>15</v>
      </c>
      <c r="D335" s="9" t="s">
        <v>55</v>
      </c>
      <c r="E335" s="9" t="s">
        <v>35</v>
      </c>
      <c r="F335" s="9" t="s">
        <v>42</v>
      </c>
      <c r="G335" s="9" t="s">
        <v>26</v>
      </c>
      <c r="H335" s="9" t="s">
        <v>27</v>
      </c>
      <c r="I335" s="9">
        <v>4</v>
      </c>
      <c r="J335" s="9">
        <v>6000</v>
      </c>
      <c r="K335" s="15">
        <v>5</v>
      </c>
      <c r="L335" s="16">
        <v>22800</v>
      </c>
      <c r="M335" s="16">
        <v>19128.810000000001</v>
      </c>
      <c r="N335" s="9">
        <v>3671.19</v>
      </c>
      <c r="O335" s="9" t="s">
        <v>28</v>
      </c>
      <c r="P335" s="17">
        <v>45764</v>
      </c>
    </row>
    <row r="336" spans="1:16" ht="15.6" x14ac:dyDescent="0.3">
      <c r="A336" s="4" t="s">
        <v>390</v>
      </c>
      <c r="B336" s="5">
        <f t="shared" si="5"/>
        <v>45706</v>
      </c>
      <c r="C336" s="6" t="s">
        <v>15</v>
      </c>
      <c r="D336" s="6" t="s">
        <v>16</v>
      </c>
      <c r="E336" s="6" t="s">
        <v>25</v>
      </c>
      <c r="F336" s="6" t="s">
        <v>51</v>
      </c>
      <c r="G336" s="6" t="s">
        <v>37</v>
      </c>
      <c r="H336" s="6" t="s">
        <v>72</v>
      </c>
      <c r="I336" s="6">
        <v>4</v>
      </c>
      <c r="J336" s="6">
        <v>800</v>
      </c>
      <c r="K336" s="12">
        <v>0</v>
      </c>
      <c r="L336" s="13">
        <v>3200</v>
      </c>
      <c r="M336" s="13">
        <v>2182.44</v>
      </c>
      <c r="N336" s="6">
        <v>1017.56</v>
      </c>
      <c r="O336" s="6" t="s">
        <v>28</v>
      </c>
      <c r="P336" s="14">
        <v>45706</v>
      </c>
    </row>
    <row r="337" spans="1:16" ht="15.6" x14ac:dyDescent="0.3">
      <c r="A337" s="7" t="s">
        <v>391</v>
      </c>
      <c r="B337" s="8">
        <f t="shared" si="5"/>
        <v>45818</v>
      </c>
      <c r="C337" s="9" t="s">
        <v>30</v>
      </c>
      <c r="D337" s="9" t="s">
        <v>50</v>
      </c>
      <c r="E337" s="9" t="s">
        <v>48</v>
      </c>
      <c r="F337" s="9" t="s">
        <v>42</v>
      </c>
      <c r="G337" s="9" t="s">
        <v>37</v>
      </c>
      <c r="H337" s="9" t="s">
        <v>56</v>
      </c>
      <c r="I337" s="9">
        <v>3</v>
      </c>
      <c r="J337" s="9">
        <v>2500</v>
      </c>
      <c r="K337" s="15">
        <v>15</v>
      </c>
      <c r="L337" s="16">
        <v>6375</v>
      </c>
      <c r="M337" s="16">
        <v>5533.06</v>
      </c>
      <c r="N337" s="9">
        <v>841.94</v>
      </c>
      <c r="O337" s="9" t="s">
        <v>44</v>
      </c>
      <c r="P337" s="17">
        <v>45818</v>
      </c>
    </row>
    <row r="338" spans="1:16" ht="15.6" x14ac:dyDescent="0.3">
      <c r="A338" s="4" t="s">
        <v>392</v>
      </c>
      <c r="B338" s="5">
        <f t="shared" si="5"/>
        <v>45963</v>
      </c>
      <c r="C338" s="6" t="s">
        <v>30</v>
      </c>
      <c r="D338" s="6" t="s">
        <v>50</v>
      </c>
      <c r="E338" s="6" t="s">
        <v>32</v>
      </c>
      <c r="F338" s="6" t="s">
        <v>51</v>
      </c>
      <c r="G338" s="6" t="s">
        <v>26</v>
      </c>
      <c r="H338" s="6" t="s">
        <v>70</v>
      </c>
      <c r="I338" s="6">
        <v>5</v>
      </c>
      <c r="J338" s="6">
        <v>10000</v>
      </c>
      <c r="K338" s="12">
        <v>5</v>
      </c>
      <c r="L338" s="13">
        <v>47500</v>
      </c>
      <c r="M338" s="13">
        <v>40031.480000000003</v>
      </c>
      <c r="N338" s="6">
        <v>7468.52</v>
      </c>
      <c r="O338" s="6" t="s">
        <v>21</v>
      </c>
      <c r="P338" s="14">
        <v>45963</v>
      </c>
    </row>
    <row r="339" spans="1:16" ht="15.6" x14ac:dyDescent="0.3">
      <c r="A339" s="7" t="s">
        <v>393</v>
      </c>
      <c r="B339" s="8">
        <f t="shared" si="5"/>
        <v>45938</v>
      </c>
      <c r="C339" s="9" t="s">
        <v>15</v>
      </c>
      <c r="D339" s="9" t="s">
        <v>55</v>
      </c>
      <c r="E339" s="9" t="s">
        <v>25</v>
      </c>
      <c r="F339" s="9" t="s">
        <v>62</v>
      </c>
      <c r="G339" s="9" t="s">
        <v>19</v>
      </c>
      <c r="H339" s="9" t="s">
        <v>20</v>
      </c>
      <c r="I339" s="9">
        <v>10</v>
      </c>
      <c r="J339" s="9">
        <v>12000</v>
      </c>
      <c r="K339" s="15">
        <v>10</v>
      </c>
      <c r="L339" s="16">
        <v>108000</v>
      </c>
      <c r="M339" s="16">
        <v>78116.990000000005</v>
      </c>
      <c r="N339" s="9">
        <v>29883.01</v>
      </c>
      <c r="O339" s="9" t="s">
        <v>21</v>
      </c>
      <c r="P339" s="17">
        <v>45938</v>
      </c>
    </row>
    <row r="340" spans="1:16" ht="15.6" x14ac:dyDescent="0.3">
      <c r="A340" s="4" t="s">
        <v>394</v>
      </c>
      <c r="B340" s="5">
        <f t="shared" si="5"/>
        <v>45971</v>
      </c>
      <c r="C340" s="6" t="s">
        <v>40</v>
      </c>
      <c r="D340" s="6" t="s">
        <v>61</v>
      </c>
      <c r="E340" s="6" t="s">
        <v>48</v>
      </c>
      <c r="F340" s="6" t="s">
        <v>42</v>
      </c>
      <c r="G340" s="6" t="s">
        <v>26</v>
      </c>
      <c r="H340" s="6" t="s">
        <v>27</v>
      </c>
      <c r="I340" s="6">
        <v>6</v>
      </c>
      <c r="J340" s="6">
        <v>6000</v>
      </c>
      <c r="K340" s="12">
        <v>15</v>
      </c>
      <c r="L340" s="13">
        <v>30600</v>
      </c>
      <c r="M340" s="13">
        <v>27009.7</v>
      </c>
      <c r="N340" s="6">
        <v>3590.3</v>
      </c>
      <c r="O340" s="6" t="s">
        <v>33</v>
      </c>
      <c r="P340" s="14">
        <v>45971</v>
      </c>
    </row>
    <row r="341" spans="1:16" ht="15.6" x14ac:dyDescent="0.3">
      <c r="A341" s="7" t="s">
        <v>395</v>
      </c>
      <c r="B341" s="8">
        <f t="shared" si="5"/>
        <v>45671</v>
      </c>
      <c r="C341" s="9" t="s">
        <v>30</v>
      </c>
      <c r="D341" s="9" t="s">
        <v>31</v>
      </c>
      <c r="E341" s="9" t="s">
        <v>59</v>
      </c>
      <c r="F341" s="9" t="s">
        <v>51</v>
      </c>
      <c r="G341" s="9" t="s">
        <v>19</v>
      </c>
      <c r="H341" s="9" t="s">
        <v>20</v>
      </c>
      <c r="I341" s="9">
        <v>9</v>
      </c>
      <c r="J341" s="9">
        <v>12000</v>
      </c>
      <c r="K341" s="15">
        <v>5</v>
      </c>
      <c r="L341" s="16">
        <v>102600</v>
      </c>
      <c r="M341" s="16">
        <v>76139.03</v>
      </c>
      <c r="N341" s="9">
        <v>26460.97</v>
      </c>
      <c r="O341" s="9" t="s">
        <v>21</v>
      </c>
      <c r="P341" s="17">
        <v>45671</v>
      </c>
    </row>
    <row r="342" spans="1:16" ht="15.6" x14ac:dyDescent="0.3">
      <c r="A342" s="4" t="s">
        <v>396</v>
      </c>
      <c r="B342" s="5">
        <f t="shared" si="5"/>
        <v>45938</v>
      </c>
      <c r="C342" s="6" t="s">
        <v>23</v>
      </c>
      <c r="D342" s="6" t="s">
        <v>58</v>
      </c>
      <c r="E342" s="6" t="s">
        <v>25</v>
      </c>
      <c r="F342" s="6" t="s">
        <v>18</v>
      </c>
      <c r="G342" s="6" t="s">
        <v>26</v>
      </c>
      <c r="H342" s="6" t="s">
        <v>70</v>
      </c>
      <c r="I342" s="6">
        <v>2</v>
      </c>
      <c r="J342" s="6">
        <v>10000</v>
      </c>
      <c r="K342" s="12">
        <v>0</v>
      </c>
      <c r="L342" s="13">
        <v>20000</v>
      </c>
      <c r="M342" s="13">
        <v>15275.42</v>
      </c>
      <c r="N342" s="6">
        <v>4724.58</v>
      </c>
      <c r="O342" s="6" t="s">
        <v>33</v>
      </c>
      <c r="P342" s="14">
        <v>45938</v>
      </c>
    </row>
    <row r="343" spans="1:16" ht="15.6" x14ac:dyDescent="0.3">
      <c r="A343" s="7" t="s">
        <v>397</v>
      </c>
      <c r="B343" s="8">
        <f t="shared" si="5"/>
        <v>45844</v>
      </c>
      <c r="C343" s="9" t="s">
        <v>23</v>
      </c>
      <c r="D343" s="9" t="s">
        <v>24</v>
      </c>
      <c r="E343" s="9" t="s">
        <v>48</v>
      </c>
      <c r="F343" s="9" t="s">
        <v>51</v>
      </c>
      <c r="G343" s="9" t="s">
        <v>19</v>
      </c>
      <c r="H343" s="9" t="s">
        <v>43</v>
      </c>
      <c r="I343" s="9">
        <v>6</v>
      </c>
      <c r="J343" s="9">
        <v>55000</v>
      </c>
      <c r="K343" s="15">
        <v>15</v>
      </c>
      <c r="L343" s="16">
        <v>280500</v>
      </c>
      <c r="M343" s="16">
        <v>193494.89</v>
      </c>
      <c r="N343" s="9">
        <v>87005.11</v>
      </c>
      <c r="O343" s="9" t="s">
        <v>21</v>
      </c>
      <c r="P343" s="17">
        <v>45844</v>
      </c>
    </row>
    <row r="344" spans="1:16" ht="15.6" x14ac:dyDescent="0.3">
      <c r="A344" s="4" t="s">
        <v>398</v>
      </c>
      <c r="B344" s="5">
        <f t="shared" si="5"/>
        <v>45794</v>
      </c>
      <c r="C344" s="6" t="s">
        <v>30</v>
      </c>
      <c r="D344" s="6" t="s">
        <v>50</v>
      </c>
      <c r="E344" s="6" t="s">
        <v>32</v>
      </c>
      <c r="F344" s="6" t="s">
        <v>62</v>
      </c>
      <c r="G344" s="6" t="s">
        <v>19</v>
      </c>
      <c r="H344" s="6" t="s">
        <v>52</v>
      </c>
      <c r="I344" s="6">
        <v>1</v>
      </c>
      <c r="J344" s="6">
        <v>1500</v>
      </c>
      <c r="K344" s="12">
        <v>0</v>
      </c>
      <c r="L344" s="13">
        <v>1500</v>
      </c>
      <c r="M344" s="13">
        <v>1250.3499999999999</v>
      </c>
      <c r="N344" s="6">
        <v>249.65</v>
      </c>
      <c r="O344" s="6" t="s">
        <v>33</v>
      </c>
      <c r="P344" s="14">
        <v>45794</v>
      </c>
    </row>
    <row r="345" spans="1:16" ht="15.6" x14ac:dyDescent="0.3">
      <c r="A345" s="7" t="s">
        <v>399</v>
      </c>
      <c r="B345" s="8">
        <f t="shared" si="5"/>
        <v>45676</v>
      </c>
      <c r="C345" s="9" t="s">
        <v>23</v>
      </c>
      <c r="D345" s="9" t="s">
        <v>58</v>
      </c>
      <c r="E345" s="9" t="s">
        <v>48</v>
      </c>
      <c r="F345" s="9" t="s">
        <v>51</v>
      </c>
      <c r="G345" s="9" t="s">
        <v>37</v>
      </c>
      <c r="H345" s="9" t="s">
        <v>72</v>
      </c>
      <c r="I345" s="9">
        <v>6</v>
      </c>
      <c r="J345" s="9">
        <v>800</v>
      </c>
      <c r="K345" s="15">
        <v>10</v>
      </c>
      <c r="L345" s="16">
        <v>4320</v>
      </c>
      <c r="M345" s="16">
        <v>3557.21</v>
      </c>
      <c r="N345" s="9">
        <v>762.79</v>
      </c>
      <c r="O345" s="9" t="s">
        <v>28</v>
      </c>
      <c r="P345" s="17">
        <v>45676</v>
      </c>
    </row>
    <row r="346" spans="1:16" ht="15.6" x14ac:dyDescent="0.3">
      <c r="A346" s="4" t="s">
        <v>400</v>
      </c>
      <c r="B346" s="5">
        <f t="shared" si="5"/>
        <v>45760</v>
      </c>
      <c r="C346" s="6" t="s">
        <v>15</v>
      </c>
      <c r="D346" s="6" t="s">
        <v>55</v>
      </c>
      <c r="E346" s="6" t="s">
        <v>35</v>
      </c>
      <c r="F346" s="6" t="s">
        <v>18</v>
      </c>
      <c r="G346" s="6" t="s">
        <v>37</v>
      </c>
      <c r="H346" s="6" t="s">
        <v>56</v>
      </c>
      <c r="I346" s="6">
        <v>2</v>
      </c>
      <c r="J346" s="6">
        <v>2500</v>
      </c>
      <c r="K346" s="12">
        <v>0</v>
      </c>
      <c r="L346" s="13">
        <v>5000</v>
      </c>
      <c r="M346" s="13">
        <v>4233.38</v>
      </c>
      <c r="N346" s="6">
        <v>766.62</v>
      </c>
      <c r="O346" s="6" t="s">
        <v>44</v>
      </c>
      <c r="P346" s="14">
        <v>45760</v>
      </c>
    </row>
    <row r="347" spans="1:16" ht="15.6" x14ac:dyDescent="0.3">
      <c r="A347" s="7" t="s">
        <v>401</v>
      </c>
      <c r="B347" s="8">
        <f t="shared" si="5"/>
        <v>45883</v>
      </c>
      <c r="C347" s="9" t="s">
        <v>23</v>
      </c>
      <c r="D347" s="9" t="s">
        <v>90</v>
      </c>
      <c r="E347" s="9" t="s">
        <v>25</v>
      </c>
      <c r="F347" s="9" t="s">
        <v>36</v>
      </c>
      <c r="G347" s="9" t="s">
        <v>26</v>
      </c>
      <c r="H347" s="9" t="s">
        <v>70</v>
      </c>
      <c r="I347" s="9">
        <v>4</v>
      </c>
      <c r="J347" s="9">
        <v>10000</v>
      </c>
      <c r="K347" s="15">
        <v>0</v>
      </c>
      <c r="L347" s="16">
        <v>40000</v>
      </c>
      <c r="M347" s="16">
        <v>30876.37</v>
      </c>
      <c r="N347" s="9">
        <v>9123.6299999999992</v>
      </c>
      <c r="O347" s="9" t="s">
        <v>33</v>
      </c>
      <c r="P347" s="17">
        <v>45883</v>
      </c>
    </row>
    <row r="348" spans="1:16" ht="15.6" x14ac:dyDescent="0.3">
      <c r="A348" s="4" t="s">
        <v>402</v>
      </c>
      <c r="B348" s="5">
        <f t="shared" si="5"/>
        <v>45941</v>
      </c>
      <c r="C348" s="6" t="s">
        <v>40</v>
      </c>
      <c r="D348" s="6" t="s">
        <v>61</v>
      </c>
      <c r="E348" s="6" t="s">
        <v>48</v>
      </c>
      <c r="F348" s="6" t="s">
        <v>51</v>
      </c>
      <c r="G348" s="6" t="s">
        <v>26</v>
      </c>
      <c r="H348" s="6" t="s">
        <v>70</v>
      </c>
      <c r="I348" s="6">
        <v>10</v>
      </c>
      <c r="J348" s="6">
        <v>10000</v>
      </c>
      <c r="K348" s="12">
        <v>15</v>
      </c>
      <c r="L348" s="13">
        <v>85000</v>
      </c>
      <c r="M348" s="13">
        <v>58659.21</v>
      </c>
      <c r="N348" s="6">
        <v>26340.79</v>
      </c>
      <c r="O348" s="6" t="s">
        <v>28</v>
      </c>
      <c r="P348" s="14">
        <v>45941</v>
      </c>
    </row>
    <row r="349" spans="1:16" ht="15.6" x14ac:dyDescent="0.3">
      <c r="A349" s="7" t="s">
        <v>403</v>
      </c>
      <c r="B349" s="8">
        <f t="shared" si="5"/>
        <v>45893</v>
      </c>
      <c r="C349" s="9" t="s">
        <v>40</v>
      </c>
      <c r="D349" s="9" t="s">
        <v>61</v>
      </c>
      <c r="E349" s="9" t="s">
        <v>35</v>
      </c>
      <c r="F349" s="9" t="s">
        <v>42</v>
      </c>
      <c r="G349" s="9" t="s">
        <v>37</v>
      </c>
      <c r="H349" s="9" t="s">
        <v>56</v>
      </c>
      <c r="I349" s="9">
        <v>6</v>
      </c>
      <c r="J349" s="9">
        <v>2500</v>
      </c>
      <c r="K349" s="15">
        <v>15</v>
      </c>
      <c r="L349" s="16">
        <v>12750</v>
      </c>
      <c r="M349" s="16">
        <v>9167.31</v>
      </c>
      <c r="N349" s="9">
        <v>3582.69</v>
      </c>
      <c r="O349" s="9" t="s">
        <v>33</v>
      </c>
      <c r="P349" s="17">
        <v>45893</v>
      </c>
    </row>
    <row r="350" spans="1:16" ht="15.6" x14ac:dyDescent="0.3">
      <c r="A350" s="4" t="s">
        <v>404</v>
      </c>
      <c r="B350" s="5">
        <f t="shared" si="5"/>
        <v>45798</v>
      </c>
      <c r="C350" s="6" t="s">
        <v>40</v>
      </c>
      <c r="D350" s="6" t="s">
        <v>61</v>
      </c>
      <c r="E350" s="6" t="s">
        <v>48</v>
      </c>
      <c r="F350" s="6" t="s">
        <v>62</v>
      </c>
      <c r="G350" s="6" t="s">
        <v>19</v>
      </c>
      <c r="H350" s="6" t="s">
        <v>52</v>
      </c>
      <c r="I350" s="6">
        <v>8</v>
      </c>
      <c r="J350" s="6">
        <v>1500</v>
      </c>
      <c r="K350" s="12">
        <v>10</v>
      </c>
      <c r="L350" s="13">
        <v>10800</v>
      </c>
      <c r="M350" s="13">
        <v>9508.4699999999993</v>
      </c>
      <c r="N350" s="6">
        <v>1291.53</v>
      </c>
      <c r="O350" s="6" t="s">
        <v>21</v>
      </c>
      <c r="P350" s="14">
        <v>45798</v>
      </c>
    </row>
    <row r="351" spans="1:16" ht="15.6" x14ac:dyDescent="0.3">
      <c r="A351" s="7" t="s">
        <v>405</v>
      </c>
      <c r="B351" s="8">
        <f t="shared" si="5"/>
        <v>45666</v>
      </c>
      <c r="C351" s="9" t="s">
        <v>23</v>
      </c>
      <c r="D351" s="9" t="s">
        <v>90</v>
      </c>
      <c r="E351" s="9" t="s">
        <v>59</v>
      </c>
      <c r="F351" s="9" t="s">
        <v>65</v>
      </c>
      <c r="G351" s="9" t="s">
        <v>26</v>
      </c>
      <c r="H351" s="9" t="s">
        <v>27</v>
      </c>
      <c r="I351" s="9">
        <v>10</v>
      </c>
      <c r="J351" s="9">
        <v>6000</v>
      </c>
      <c r="K351" s="15">
        <v>10</v>
      </c>
      <c r="L351" s="16">
        <v>54000</v>
      </c>
      <c r="M351" s="16">
        <v>36845.230000000003</v>
      </c>
      <c r="N351" s="9">
        <v>17154.77</v>
      </c>
      <c r="O351" s="9" t="s">
        <v>33</v>
      </c>
      <c r="P351" s="17">
        <v>45666</v>
      </c>
    </row>
    <row r="352" spans="1:16" ht="15.6" x14ac:dyDescent="0.3">
      <c r="A352" s="4" t="s">
        <v>406</v>
      </c>
      <c r="B352" s="5">
        <f t="shared" si="5"/>
        <v>45992</v>
      </c>
      <c r="C352" s="6" t="s">
        <v>15</v>
      </c>
      <c r="D352" s="6" t="s">
        <v>16</v>
      </c>
      <c r="E352" s="6" t="s">
        <v>17</v>
      </c>
      <c r="F352" s="6" t="s">
        <v>51</v>
      </c>
      <c r="G352" s="6" t="s">
        <v>26</v>
      </c>
      <c r="H352" s="6" t="s">
        <v>27</v>
      </c>
      <c r="I352" s="6">
        <v>7</v>
      </c>
      <c r="J352" s="6">
        <v>6000</v>
      </c>
      <c r="K352" s="12">
        <v>15</v>
      </c>
      <c r="L352" s="13">
        <v>35700</v>
      </c>
      <c r="M352" s="13">
        <v>28847.86</v>
      </c>
      <c r="N352" s="6">
        <v>6852.14</v>
      </c>
      <c r="O352" s="6" t="s">
        <v>21</v>
      </c>
      <c r="P352" s="14">
        <v>45992</v>
      </c>
    </row>
    <row r="353" spans="1:16" ht="15.6" x14ac:dyDescent="0.3">
      <c r="A353" s="7" t="s">
        <v>407</v>
      </c>
      <c r="B353" s="8">
        <f t="shared" si="5"/>
        <v>45879</v>
      </c>
      <c r="C353" s="9" t="s">
        <v>15</v>
      </c>
      <c r="D353" s="9" t="s">
        <v>16</v>
      </c>
      <c r="E353" s="9" t="s">
        <v>32</v>
      </c>
      <c r="F353" s="9" t="s">
        <v>62</v>
      </c>
      <c r="G353" s="9" t="s">
        <v>19</v>
      </c>
      <c r="H353" s="9" t="s">
        <v>52</v>
      </c>
      <c r="I353" s="9">
        <v>5</v>
      </c>
      <c r="J353" s="9">
        <v>1500</v>
      </c>
      <c r="K353" s="15">
        <v>15</v>
      </c>
      <c r="L353" s="16">
        <v>6375</v>
      </c>
      <c r="M353" s="16">
        <v>4302.88</v>
      </c>
      <c r="N353" s="9">
        <v>2072.12</v>
      </c>
      <c r="O353" s="9" t="s">
        <v>28</v>
      </c>
      <c r="P353" s="17">
        <v>45879</v>
      </c>
    </row>
    <row r="354" spans="1:16" ht="15.6" x14ac:dyDescent="0.3">
      <c r="A354" s="4" t="s">
        <v>408</v>
      </c>
      <c r="B354" s="5">
        <f t="shared" si="5"/>
        <v>46009</v>
      </c>
      <c r="C354" s="6" t="s">
        <v>40</v>
      </c>
      <c r="D354" s="6" t="s">
        <v>61</v>
      </c>
      <c r="E354" s="6" t="s">
        <v>17</v>
      </c>
      <c r="F354" s="6" t="s">
        <v>62</v>
      </c>
      <c r="G354" s="6" t="s">
        <v>19</v>
      </c>
      <c r="H354" s="6" t="s">
        <v>20</v>
      </c>
      <c r="I354" s="6">
        <v>3</v>
      </c>
      <c r="J354" s="6">
        <v>12000</v>
      </c>
      <c r="K354" s="12">
        <v>0</v>
      </c>
      <c r="L354" s="13">
        <v>36000</v>
      </c>
      <c r="M354" s="13">
        <v>31703</v>
      </c>
      <c r="N354" s="6">
        <v>4297</v>
      </c>
      <c r="O354" s="6" t="s">
        <v>21</v>
      </c>
      <c r="P354" s="14">
        <v>46009</v>
      </c>
    </row>
    <row r="355" spans="1:16" ht="15.6" x14ac:dyDescent="0.3">
      <c r="A355" s="7" t="s">
        <v>409</v>
      </c>
      <c r="B355" s="8">
        <f t="shared" si="5"/>
        <v>45986</v>
      </c>
      <c r="C355" s="9" t="s">
        <v>15</v>
      </c>
      <c r="D355" s="9" t="s">
        <v>16</v>
      </c>
      <c r="E355" s="9" t="s">
        <v>35</v>
      </c>
      <c r="F355" s="9" t="s">
        <v>42</v>
      </c>
      <c r="G355" s="9" t="s">
        <v>19</v>
      </c>
      <c r="H355" s="9" t="s">
        <v>20</v>
      </c>
      <c r="I355" s="9">
        <v>3</v>
      </c>
      <c r="J355" s="9">
        <v>12000</v>
      </c>
      <c r="K355" s="15">
        <v>15</v>
      </c>
      <c r="L355" s="16">
        <v>30600</v>
      </c>
      <c r="M355" s="16">
        <v>22248.54</v>
      </c>
      <c r="N355" s="9">
        <v>8351.4599999999991</v>
      </c>
      <c r="O355" s="9" t="s">
        <v>44</v>
      </c>
      <c r="P355" s="17">
        <v>45986</v>
      </c>
    </row>
    <row r="356" spans="1:16" ht="15.6" x14ac:dyDescent="0.3">
      <c r="A356" s="4" t="s">
        <v>410</v>
      </c>
      <c r="B356" s="5">
        <f t="shared" si="5"/>
        <v>46006</v>
      </c>
      <c r="C356" s="6" t="s">
        <v>30</v>
      </c>
      <c r="D356" s="6" t="s">
        <v>31</v>
      </c>
      <c r="E356" s="6" t="s">
        <v>17</v>
      </c>
      <c r="F356" s="6" t="s">
        <v>42</v>
      </c>
      <c r="G356" s="6" t="s">
        <v>19</v>
      </c>
      <c r="H356" s="6" t="s">
        <v>20</v>
      </c>
      <c r="I356" s="6">
        <v>7</v>
      </c>
      <c r="J356" s="6">
        <v>12000</v>
      </c>
      <c r="K356" s="12">
        <v>15</v>
      </c>
      <c r="L356" s="13">
        <v>71400</v>
      </c>
      <c r="M356" s="13">
        <v>51845.36</v>
      </c>
      <c r="N356" s="6">
        <v>19554.64</v>
      </c>
      <c r="O356" s="6" t="s">
        <v>33</v>
      </c>
      <c r="P356" s="14">
        <v>46006</v>
      </c>
    </row>
    <row r="357" spans="1:16" ht="15.6" x14ac:dyDescent="0.3">
      <c r="A357" s="7" t="s">
        <v>411</v>
      </c>
      <c r="B357" s="8">
        <f t="shared" si="5"/>
        <v>45911</v>
      </c>
      <c r="C357" s="9" t="s">
        <v>23</v>
      </c>
      <c r="D357" s="9" t="s">
        <v>90</v>
      </c>
      <c r="E357" s="9" t="s">
        <v>17</v>
      </c>
      <c r="F357" s="9" t="s">
        <v>36</v>
      </c>
      <c r="G357" s="9" t="s">
        <v>19</v>
      </c>
      <c r="H357" s="9" t="s">
        <v>52</v>
      </c>
      <c r="I357" s="9">
        <v>1</v>
      </c>
      <c r="J357" s="9">
        <v>1500</v>
      </c>
      <c r="K357" s="15">
        <v>0</v>
      </c>
      <c r="L357" s="16">
        <v>1500</v>
      </c>
      <c r="M357" s="16">
        <v>1236.73</v>
      </c>
      <c r="N357" s="9">
        <v>263.27</v>
      </c>
      <c r="O357" s="9" t="s">
        <v>21</v>
      </c>
      <c r="P357" s="17">
        <v>45911</v>
      </c>
    </row>
    <row r="358" spans="1:16" ht="15.6" x14ac:dyDescent="0.3">
      <c r="A358" s="4" t="s">
        <v>412</v>
      </c>
      <c r="B358" s="5">
        <f t="shared" si="5"/>
        <v>45832</v>
      </c>
      <c r="C358" s="6" t="s">
        <v>23</v>
      </c>
      <c r="D358" s="6" t="s">
        <v>24</v>
      </c>
      <c r="E358" s="6" t="s">
        <v>17</v>
      </c>
      <c r="F358" s="6" t="s">
        <v>36</v>
      </c>
      <c r="G358" s="6" t="s">
        <v>26</v>
      </c>
      <c r="H358" s="6" t="s">
        <v>27</v>
      </c>
      <c r="I358" s="6">
        <v>4</v>
      </c>
      <c r="J358" s="6">
        <v>6000</v>
      </c>
      <c r="K358" s="12">
        <v>5</v>
      </c>
      <c r="L358" s="13">
        <v>22800</v>
      </c>
      <c r="M358" s="13">
        <v>18653.150000000001</v>
      </c>
      <c r="N358" s="6">
        <v>4146.8500000000004</v>
      </c>
      <c r="O358" s="6" t="s">
        <v>21</v>
      </c>
      <c r="P358" s="14">
        <v>45832</v>
      </c>
    </row>
    <row r="359" spans="1:16" ht="15.6" x14ac:dyDescent="0.3">
      <c r="A359" s="7" t="s">
        <v>413</v>
      </c>
      <c r="B359" s="8">
        <f t="shared" si="5"/>
        <v>45733</v>
      </c>
      <c r="C359" s="9" t="s">
        <v>23</v>
      </c>
      <c r="D359" s="9" t="s">
        <v>24</v>
      </c>
      <c r="E359" s="9" t="s">
        <v>25</v>
      </c>
      <c r="F359" s="9" t="s">
        <v>65</v>
      </c>
      <c r="G359" s="9" t="s">
        <v>26</v>
      </c>
      <c r="H359" s="9" t="s">
        <v>27</v>
      </c>
      <c r="I359" s="9">
        <v>1</v>
      </c>
      <c r="J359" s="9">
        <v>6000</v>
      </c>
      <c r="K359" s="15">
        <v>0</v>
      </c>
      <c r="L359" s="16">
        <v>6000</v>
      </c>
      <c r="M359" s="16">
        <v>4420.3599999999997</v>
      </c>
      <c r="N359" s="9">
        <v>1579.64</v>
      </c>
      <c r="O359" s="9" t="s">
        <v>44</v>
      </c>
      <c r="P359" s="17">
        <v>45733</v>
      </c>
    </row>
    <row r="360" spans="1:16" ht="15.6" x14ac:dyDescent="0.3">
      <c r="A360" s="4" t="s">
        <v>414</v>
      </c>
      <c r="B360" s="5">
        <f t="shared" si="5"/>
        <v>45831</v>
      </c>
      <c r="C360" s="6" t="s">
        <v>15</v>
      </c>
      <c r="D360" s="6" t="s">
        <v>55</v>
      </c>
      <c r="E360" s="6" t="s">
        <v>25</v>
      </c>
      <c r="F360" s="6" t="s">
        <v>62</v>
      </c>
      <c r="G360" s="6" t="s">
        <v>26</v>
      </c>
      <c r="H360" s="6" t="s">
        <v>27</v>
      </c>
      <c r="I360" s="6">
        <v>3</v>
      </c>
      <c r="J360" s="6">
        <v>6000</v>
      </c>
      <c r="K360" s="12">
        <v>5</v>
      </c>
      <c r="L360" s="13">
        <v>17100</v>
      </c>
      <c r="M360" s="13">
        <v>12241.12</v>
      </c>
      <c r="N360" s="6">
        <v>4858.88</v>
      </c>
      <c r="O360" s="6" t="s">
        <v>33</v>
      </c>
      <c r="P360" s="14">
        <v>45831</v>
      </c>
    </row>
    <row r="361" spans="1:16" ht="15.6" x14ac:dyDescent="0.3">
      <c r="A361" s="7" t="s">
        <v>415</v>
      </c>
      <c r="B361" s="8">
        <f t="shared" si="5"/>
        <v>45961</v>
      </c>
      <c r="C361" s="9" t="s">
        <v>30</v>
      </c>
      <c r="D361" s="9" t="s">
        <v>50</v>
      </c>
      <c r="E361" s="9" t="s">
        <v>35</v>
      </c>
      <c r="F361" s="9" t="s">
        <v>42</v>
      </c>
      <c r="G361" s="9" t="s">
        <v>37</v>
      </c>
      <c r="H361" s="9" t="s">
        <v>38</v>
      </c>
      <c r="I361" s="9">
        <v>2</v>
      </c>
      <c r="J361" s="9">
        <v>900</v>
      </c>
      <c r="K361" s="15">
        <v>15</v>
      </c>
      <c r="L361" s="16">
        <v>1530</v>
      </c>
      <c r="M361" s="16">
        <v>1205.44</v>
      </c>
      <c r="N361" s="9">
        <v>324.56</v>
      </c>
      <c r="O361" s="9" t="s">
        <v>33</v>
      </c>
      <c r="P361" s="17">
        <v>45961</v>
      </c>
    </row>
    <row r="362" spans="1:16" ht="15.6" x14ac:dyDescent="0.3">
      <c r="A362" s="4" t="s">
        <v>416</v>
      </c>
      <c r="B362" s="5">
        <f t="shared" si="5"/>
        <v>45931</v>
      </c>
      <c r="C362" s="6" t="s">
        <v>23</v>
      </c>
      <c r="D362" s="6" t="s">
        <v>58</v>
      </c>
      <c r="E362" s="6" t="s">
        <v>48</v>
      </c>
      <c r="F362" s="6" t="s">
        <v>51</v>
      </c>
      <c r="G362" s="6" t="s">
        <v>19</v>
      </c>
      <c r="H362" s="6" t="s">
        <v>20</v>
      </c>
      <c r="I362" s="6">
        <v>6</v>
      </c>
      <c r="J362" s="6">
        <v>12000</v>
      </c>
      <c r="K362" s="12">
        <v>5</v>
      </c>
      <c r="L362" s="13">
        <v>68400</v>
      </c>
      <c r="M362" s="13">
        <v>45046.91</v>
      </c>
      <c r="N362" s="6">
        <v>23353.09</v>
      </c>
      <c r="O362" s="6" t="s">
        <v>21</v>
      </c>
      <c r="P362" s="14">
        <v>45931</v>
      </c>
    </row>
    <row r="363" spans="1:16" ht="15.6" x14ac:dyDescent="0.3">
      <c r="A363" s="7" t="s">
        <v>417</v>
      </c>
      <c r="B363" s="8">
        <f t="shared" si="5"/>
        <v>45778</v>
      </c>
      <c r="C363" s="9" t="s">
        <v>30</v>
      </c>
      <c r="D363" s="9" t="s">
        <v>31</v>
      </c>
      <c r="E363" s="9" t="s">
        <v>59</v>
      </c>
      <c r="F363" s="9" t="s">
        <v>42</v>
      </c>
      <c r="G363" s="9" t="s">
        <v>37</v>
      </c>
      <c r="H363" s="9" t="s">
        <v>72</v>
      </c>
      <c r="I363" s="9">
        <v>3</v>
      </c>
      <c r="J363" s="9">
        <v>800</v>
      </c>
      <c r="K363" s="15">
        <v>0</v>
      </c>
      <c r="L363" s="16">
        <v>2400</v>
      </c>
      <c r="M363" s="16">
        <v>2066.59</v>
      </c>
      <c r="N363" s="9">
        <v>333.41</v>
      </c>
      <c r="O363" s="9" t="s">
        <v>44</v>
      </c>
      <c r="P363" s="17">
        <v>45778</v>
      </c>
    </row>
    <row r="364" spans="1:16" ht="15.6" x14ac:dyDescent="0.3">
      <c r="A364" s="4" t="s">
        <v>418</v>
      </c>
      <c r="B364" s="5">
        <f t="shared" si="5"/>
        <v>45683</v>
      </c>
      <c r="C364" s="6" t="s">
        <v>23</v>
      </c>
      <c r="D364" s="6" t="s">
        <v>58</v>
      </c>
      <c r="E364" s="6" t="s">
        <v>17</v>
      </c>
      <c r="F364" s="6" t="s">
        <v>36</v>
      </c>
      <c r="G364" s="6" t="s">
        <v>19</v>
      </c>
      <c r="H364" s="6" t="s">
        <v>43</v>
      </c>
      <c r="I364" s="6">
        <v>10</v>
      </c>
      <c r="J364" s="6">
        <v>55000</v>
      </c>
      <c r="K364" s="12">
        <v>0</v>
      </c>
      <c r="L364" s="13">
        <v>550000</v>
      </c>
      <c r="M364" s="13">
        <v>436279.73</v>
      </c>
      <c r="N364" s="6">
        <v>113720.27</v>
      </c>
      <c r="O364" s="6" t="s">
        <v>28</v>
      </c>
      <c r="P364" s="14">
        <v>45683</v>
      </c>
    </row>
    <row r="365" spans="1:16" ht="15.6" x14ac:dyDescent="0.3">
      <c r="A365" s="7" t="s">
        <v>419</v>
      </c>
      <c r="B365" s="8">
        <f t="shared" si="5"/>
        <v>45745</v>
      </c>
      <c r="C365" s="9" t="s">
        <v>30</v>
      </c>
      <c r="D365" s="9" t="s">
        <v>31</v>
      </c>
      <c r="E365" s="9" t="s">
        <v>32</v>
      </c>
      <c r="F365" s="9" t="s">
        <v>42</v>
      </c>
      <c r="G365" s="9" t="s">
        <v>19</v>
      </c>
      <c r="H365" s="9" t="s">
        <v>43</v>
      </c>
      <c r="I365" s="9">
        <v>7</v>
      </c>
      <c r="J365" s="9">
        <v>55000</v>
      </c>
      <c r="K365" s="15">
        <v>15</v>
      </c>
      <c r="L365" s="16">
        <v>327250</v>
      </c>
      <c r="M365" s="16">
        <v>218353</v>
      </c>
      <c r="N365" s="9">
        <v>108897</v>
      </c>
      <c r="O365" s="9" t="s">
        <v>21</v>
      </c>
      <c r="P365" s="17">
        <v>45745</v>
      </c>
    </row>
    <row r="366" spans="1:16" ht="15.6" x14ac:dyDescent="0.3">
      <c r="A366" s="4" t="s">
        <v>420</v>
      </c>
      <c r="B366" s="5">
        <f t="shared" si="5"/>
        <v>45902</v>
      </c>
      <c r="C366" s="6" t="s">
        <v>23</v>
      </c>
      <c r="D366" s="6" t="s">
        <v>90</v>
      </c>
      <c r="E366" s="6" t="s">
        <v>48</v>
      </c>
      <c r="F366" s="6" t="s">
        <v>62</v>
      </c>
      <c r="G366" s="6" t="s">
        <v>37</v>
      </c>
      <c r="H366" s="6" t="s">
        <v>72</v>
      </c>
      <c r="I366" s="6">
        <v>4</v>
      </c>
      <c r="J366" s="6">
        <v>800</v>
      </c>
      <c r="K366" s="12">
        <v>5</v>
      </c>
      <c r="L366" s="13">
        <v>3040</v>
      </c>
      <c r="M366" s="13">
        <v>2539.8200000000002</v>
      </c>
      <c r="N366" s="6">
        <v>500.18</v>
      </c>
      <c r="O366" s="6" t="s">
        <v>28</v>
      </c>
      <c r="P366" s="14">
        <v>45902</v>
      </c>
    </row>
    <row r="367" spans="1:16" ht="15.6" x14ac:dyDescent="0.3">
      <c r="A367" s="7" t="s">
        <v>421</v>
      </c>
      <c r="B367" s="8">
        <f t="shared" si="5"/>
        <v>45853</v>
      </c>
      <c r="C367" s="9" t="s">
        <v>15</v>
      </c>
      <c r="D367" s="9" t="s">
        <v>16</v>
      </c>
      <c r="E367" s="9" t="s">
        <v>59</v>
      </c>
      <c r="F367" s="9" t="s">
        <v>18</v>
      </c>
      <c r="G367" s="9" t="s">
        <v>26</v>
      </c>
      <c r="H367" s="9" t="s">
        <v>27</v>
      </c>
      <c r="I367" s="9">
        <v>7</v>
      </c>
      <c r="J367" s="9">
        <v>6000</v>
      </c>
      <c r="K367" s="15">
        <v>10</v>
      </c>
      <c r="L367" s="16">
        <v>37800</v>
      </c>
      <c r="M367" s="16">
        <v>25772.78</v>
      </c>
      <c r="N367" s="9">
        <v>12027.22</v>
      </c>
      <c r="O367" s="9" t="s">
        <v>28</v>
      </c>
      <c r="P367" s="17">
        <v>45853</v>
      </c>
    </row>
    <row r="368" spans="1:16" ht="15.6" x14ac:dyDescent="0.3">
      <c r="A368" s="4" t="s">
        <v>422</v>
      </c>
      <c r="B368" s="5">
        <f t="shared" si="5"/>
        <v>45718</v>
      </c>
      <c r="C368" s="6" t="s">
        <v>30</v>
      </c>
      <c r="D368" s="6" t="s">
        <v>50</v>
      </c>
      <c r="E368" s="6" t="s">
        <v>17</v>
      </c>
      <c r="F368" s="6" t="s">
        <v>51</v>
      </c>
      <c r="G368" s="6" t="s">
        <v>26</v>
      </c>
      <c r="H368" s="6" t="s">
        <v>27</v>
      </c>
      <c r="I368" s="6">
        <v>2</v>
      </c>
      <c r="J368" s="6">
        <v>6000</v>
      </c>
      <c r="K368" s="12">
        <v>10</v>
      </c>
      <c r="L368" s="13">
        <v>10800</v>
      </c>
      <c r="M368" s="13">
        <v>8260.99</v>
      </c>
      <c r="N368" s="6">
        <v>2539.0100000000002</v>
      </c>
      <c r="O368" s="6" t="s">
        <v>44</v>
      </c>
      <c r="P368" s="14">
        <v>45718</v>
      </c>
    </row>
    <row r="369" spans="1:16" ht="15.6" x14ac:dyDescent="0.3">
      <c r="A369" s="7" t="s">
        <v>423</v>
      </c>
      <c r="B369" s="8">
        <f t="shared" si="5"/>
        <v>45835</v>
      </c>
      <c r="C369" s="9" t="s">
        <v>15</v>
      </c>
      <c r="D369" s="9" t="s">
        <v>55</v>
      </c>
      <c r="E369" s="9" t="s">
        <v>32</v>
      </c>
      <c r="F369" s="9" t="s">
        <v>62</v>
      </c>
      <c r="G369" s="9" t="s">
        <v>37</v>
      </c>
      <c r="H369" s="9" t="s">
        <v>38</v>
      </c>
      <c r="I369" s="9">
        <v>4</v>
      </c>
      <c r="J369" s="9">
        <v>900</v>
      </c>
      <c r="K369" s="15">
        <v>15</v>
      </c>
      <c r="L369" s="16">
        <v>3060</v>
      </c>
      <c r="M369" s="16">
        <v>2595.37</v>
      </c>
      <c r="N369" s="9">
        <v>464.63</v>
      </c>
      <c r="O369" s="9" t="s">
        <v>44</v>
      </c>
      <c r="P369" s="17">
        <v>45835</v>
      </c>
    </row>
    <row r="370" spans="1:16" ht="15.6" x14ac:dyDescent="0.3">
      <c r="A370" s="4" t="s">
        <v>424</v>
      </c>
      <c r="B370" s="5">
        <f t="shared" si="5"/>
        <v>45979</v>
      </c>
      <c r="C370" s="6" t="s">
        <v>30</v>
      </c>
      <c r="D370" s="6" t="s">
        <v>50</v>
      </c>
      <c r="E370" s="6" t="s">
        <v>48</v>
      </c>
      <c r="F370" s="6" t="s">
        <v>51</v>
      </c>
      <c r="G370" s="6" t="s">
        <v>19</v>
      </c>
      <c r="H370" s="6" t="s">
        <v>43</v>
      </c>
      <c r="I370" s="6">
        <v>4</v>
      </c>
      <c r="J370" s="6">
        <v>55000</v>
      </c>
      <c r="K370" s="12">
        <v>0</v>
      </c>
      <c r="L370" s="13">
        <v>220000</v>
      </c>
      <c r="M370" s="13">
        <v>163301.09</v>
      </c>
      <c r="N370" s="6">
        <v>56698.91</v>
      </c>
      <c r="O370" s="6" t="s">
        <v>28</v>
      </c>
      <c r="P370" s="14">
        <v>45979</v>
      </c>
    </row>
    <row r="371" spans="1:16" ht="15.6" x14ac:dyDescent="0.3">
      <c r="A371" s="7" t="s">
        <v>425</v>
      </c>
      <c r="B371" s="8">
        <f t="shared" si="5"/>
        <v>45794</v>
      </c>
      <c r="C371" s="9" t="s">
        <v>40</v>
      </c>
      <c r="D371" s="9" t="s">
        <v>92</v>
      </c>
      <c r="E371" s="9" t="s">
        <v>17</v>
      </c>
      <c r="F371" s="9" t="s">
        <v>65</v>
      </c>
      <c r="G371" s="9" t="s">
        <v>26</v>
      </c>
      <c r="H371" s="9" t="s">
        <v>70</v>
      </c>
      <c r="I371" s="9">
        <v>4</v>
      </c>
      <c r="J371" s="9">
        <v>10000</v>
      </c>
      <c r="K371" s="15">
        <v>15</v>
      </c>
      <c r="L371" s="16">
        <v>34000</v>
      </c>
      <c r="M371" s="16">
        <v>27416.98</v>
      </c>
      <c r="N371" s="9">
        <v>6583.02</v>
      </c>
      <c r="O371" s="9" t="s">
        <v>44</v>
      </c>
      <c r="P371" s="17">
        <v>45794</v>
      </c>
    </row>
    <row r="372" spans="1:16" ht="15.6" x14ac:dyDescent="0.3">
      <c r="A372" s="4" t="s">
        <v>426</v>
      </c>
      <c r="B372" s="5">
        <f t="shared" si="5"/>
        <v>45989</v>
      </c>
      <c r="C372" s="6" t="s">
        <v>15</v>
      </c>
      <c r="D372" s="6" t="s">
        <v>16</v>
      </c>
      <c r="E372" s="6" t="s">
        <v>32</v>
      </c>
      <c r="F372" s="6" t="s">
        <v>65</v>
      </c>
      <c r="G372" s="6" t="s">
        <v>19</v>
      </c>
      <c r="H372" s="6" t="s">
        <v>52</v>
      </c>
      <c r="I372" s="6">
        <v>8</v>
      </c>
      <c r="J372" s="6">
        <v>1500</v>
      </c>
      <c r="K372" s="12">
        <v>5</v>
      </c>
      <c r="L372" s="13">
        <v>11400</v>
      </c>
      <c r="M372" s="13">
        <v>9743.19</v>
      </c>
      <c r="N372" s="6">
        <v>1656.81</v>
      </c>
      <c r="O372" s="6" t="s">
        <v>21</v>
      </c>
      <c r="P372" s="14">
        <v>45989</v>
      </c>
    </row>
    <row r="373" spans="1:16" ht="15.6" x14ac:dyDescent="0.3">
      <c r="A373" s="7" t="s">
        <v>427</v>
      </c>
      <c r="B373" s="8">
        <f t="shared" si="5"/>
        <v>45786</v>
      </c>
      <c r="C373" s="9" t="s">
        <v>30</v>
      </c>
      <c r="D373" s="9" t="s">
        <v>31</v>
      </c>
      <c r="E373" s="9" t="s">
        <v>35</v>
      </c>
      <c r="F373" s="9" t="s">
        <v>42</v>
      </c>
      <c r="G373" s="9" t="s">
        <v>26</v>
      </c>
      <c r="H373" s="9" t="s">
        <v>70</v>
      </c>
      <c r="I373" s="9">
        <v>2</v>
      </c>
      <c r="J373" s="9">
        <v>10000</v>
      </c>
      <c r="K373" s="15">
        <v>10</v>
      </c>
      <c r="L373" s="16">
        <v>18000</v>
      </c>
      <c r="M373" s="16">
        <v>16183.46</v>
      </c>
      <c r="N373" s="9">
        <v>1816.54</v>
      </c>
      <c r="O373" s="9" t="s">
        <v>28</v>
      </c>
      <c r="P373" s="17">
        <v>45786</v>
      </c>
    </row>
    <row r="374" spans="1:16" ht="15.6" x14ac:dyDescent="0.3">
      <c r="A374" s="4" t="s">
        <v>428</v>
      </c>
      <c r="B374" s="5">
        <f t="shared" si="5"/>
        <v>45834</v>
      </c>
      <c r="C374" s="6" t="s">
        <v>23</v>
      </c>
      <c r="D374" s="6" t="s">
        <v>90</v>
      </c>
      <c r="E374" s="6" t="s">
        <v>48</v>
      </c>
      <c r="F374" s="6" t="s">
        <v>62</v>
      </c>
      <c r="G374" s="6" t="s">
        <v>19</v>
      </c>
      <c r="H374" s="6" t="s">
        <v>20</v>
      </c>
      <c r="I374" s="6">
        <v>7</v>
      </c>
      <c r="J374" s="6">
        <v>12000</v>
      </c>
      <c r="K374" s="12">
        <v>15</v>
      </c>
      <c r="L374" s="13">
        <v>71400</v>
      </c>
      <c r="M374" s="13">
        <v>53568.29</v>
      </c>
      <c r="N374" s="6">
        <v>17831.71</v>
      </c>
      <c r="O374" s="6" t="s">
        <v>28</v>
      </c>
      <c r="P374" s="14">
        <v>45834</v>
      </c>
    </row>
    <row r="375" spans="1:16" ht="15.6" x14ac:dyDescent="0.3">
      <c r="A375" s="7" t="s">
        <v>429</v>
      </c>
      <c r="B375" s="8">
        <f t="shared" si="5"/>
        <v>45770</v>
      </c>
      <c r="C375" s="9" t="s">
        <v>30</v>
      </c>
      <c r="D375" s="9" t="s">
        <v>31</v>
      </c>
      <c r="E375" s="9" t="s">
        <v>25</v>
      </c>
      <c r="F375" s="9" t="s">
        <v>65</v>
      </c>
      <c r="G375" s="9" t="s">
        <v>26</v>
      </c>
      <c r="H375" s="9" t="s">
        <v>27</v>
      </c>
      <c r="I375" s="9">
        <v>3</v>
      </c>
      <c r="J375" s="9">
        <v>6000</v>
      </c>
      <c r="K375" s="15">
        <v>5</v>
      </c>
      <c r="L375" s="16">
        <v>17100</v>
      </c>
      <c r="M375" s="16">
        <v>13803.91</v>
      </c>
      <c r="N375" s="9">
        <v>3296.09</v>
      </c>
      <c r="O375" s="9" t="s">
        <v>28</v>
      </c>
      <c r="P375" s="17">
        <v>45770</v>
      </c>
    </row>
    <row r="376" spans="1:16" ht="15.6" x14ac:dyDescent="0.3">
      <c r="A376" s="4" t="s">
        <v>430</v>
      </c>
      <c r="B376" s="5">
        <f t="shared" si="5"/>
        <v>45705</v>
      </c>
      <c r="C376" s="6" t="s">
        <v>23</v>
      </c>
      <c r="D376" s="6" t="s">
        <v>58</v>
      </c>
      <c r="E376" s="6" t="s">
        <v>48</v>
      </c>
      <c r="F376" s="6" t="s">
        <v>36</v>
      </c>
      <c r="G376" s="6" t="s">
        <v>37</v>
      </c>
      <c r="H376" s="6" t="s">
        <v>56</v>
      </c>
      <c r="I376" s="6">
        <v>2</v>
      </c>
      <c r="J376" s="6">
        <v>2500</v>
      </c>
      <c r="K376" s="12">
        <v>0</v>
      </c>
      <c r="L376" s="13">
        <v>5000</v>
      </c>
      <c r="M376" s="13">
        <v>3396.31</v>
      </c>
      <c r="N376" s="6">
        <v>1603.69</v>
      </c>
      <c r="O376" s="6" t="s">
        <v>44</v>
      </c>
      <c r="P376" s="14">
        <v>45705</v>
      </c>
    </row>
    <row r="377" spans="1:16" ht="15.6" x14ac:dyDescent="0.3">
      <c r="A377" s="7" t="s">
        <v>431</v>
      </c>
      <c r="B377" s="8">
        <f t="shared" si="5"/>
        <v>45701</v>
      </c>
      <c r="C377" s="9" t="s">
        <v>15</v>
      </c>
      <c r="D377" s="9" t="s">
        <v>55</v>
      </c>
      <c r="E377" s="9" t="s">
        <v>32</v>
      </c>
      <c r="F377" s="9" t="s">
        <v>51</v>
      </c>
      <c r="G377" s="9" t="s">
        <v>26</v>
      </c>
      <c r="H377" s="9" t="s">
        <v>27</v>
      </c>
      <c r="I377" s="9">
        <v>3</v>
      </c>
      <c r="J377" s="9">
        <v>6000</v>
      </c>
      <c r="K377" s="15">
        <v>5</v>
      </c>
      <c r="L377" s="16">
        <v>17100</v>
      </c>
      <c r="M377" s="16">
        <v>14619.81</v>
      </c>
      <c r="N377" s="9">
        <v>2480.19</v>
      </c>
      <c r="O377" s="9" t="s">
        <v>28</v>
      </c>
      <c r="P377" s="17">
        <v>45701</v>
      </c>
    </row>
    <row r="378" spans="1:16" ht="15.6" x14ac:dyDescent="0.3">
      <c r="A378" s="4" t="s">
        <v>432</v>
      </c>
      <c r="B378" s="5">
        <f t="shared" si="5"/>
        <v>45748</v>
      </c>
      <c r="C378" s="6" t="s">
        <v>30</v>
      </c>
      <c r="D378" s="6" t="s">
        <v>50</v>
      </c>
      <c r="E378" s="6" t="s">
        <v>59</v>
      </c>
      <c r="F378" s="6" t="s">
        <v>18</v>
      </c>
      <c r="G378" s="6" t="s">
        <v>26</v>
      </c>
      <c r="H378" s="6" t="s">
        <v>27</v>
      </c>
      <c r="I378" s="6">
        <v>7</v>
      </c>
      <c r="J378" s="6">
        <v>6000</v>
      </c>
      <c r="K378" s="12">
        <v>15</v>
      </c>
      <c r="L378" s="13">
        <v>35700</v>
      </c>
      <c r="M378" s="13">
        <v>26342.37</v>
      </c>
      <c r="N378" s="6">
        <v>9357.6299999999992</v>
      </c>
      <c r="O378" s="6" t="s">
        <v>44</v>
      </c>
      <c r="P378" s="14">
        <v>45748</v>
      </c>
    </row>
    <row r="379" spans="1:16" ht="15.6" x14ac:dyDescent="0.3">
      <c r="A379" s="7" t="s">
        <v>433</v>
      </c>
      <c r="B379" s="8">
        <f t="shared" si="5"/>
        <v>46009</v>
      </c>
      <c r="C379" s="9" t="s">
        <v>40</v>
      </c>
      <c r="D379" s="9" t="s">
        <v>61</v>
      </c>
      <c r="E379" s="9" t="s">
        <v>32</v>
      </c>
      <c r="F379" s="9" t="s">
        <v>18</v>
      </c>
      <c r="G379" s="9" t="s">
        <v>26</v>
      </c>
      <c r="H379" s="9" t="s">
        <v>70</v>
      </c>
      <c r="I379" s="9">
        <v>10</v>
      </c>
      <c r="J379" s="9">
        <v>10000</v>
      </c>
      <c r="K379" s="15">
        <v>10</v>
      </c>
      <c r="L379" s="16">
        <v>90000</v>
      </c>
      <c r="M379" s="16">
        <v>71244.509999999995</v>
      </c>
      <c r="N379" s="9">
        <v>18755.490000000002</v>
      </c>
      <c r="O379" s="9" t="s">
        <v>44</v>
      </c>
      <c r="P379" s="17">
        <v>46009</v>
      </c>
    </row>
    <row r="380" spans="1:16" ht="15.6" x14ac:dyDescent="0.3">
      <c r="A380" s="4" t="s">
        <v>434</v>
      </c>
      <c r="B380" s="5">
        <f t="shared" si="5"/>
        <v>45905</v>
      </c>
      <c r="C380" s="6" t="s">
        <v>40</v>
      </c>
      <c r="D380" s="6" t="s">
        <v>41</v>
      </c>
      <c r="E380" s="6" t="s">
        <v>25</v>
      </c>
      <c r="F380" s="6" t="s">
        <v>51</v>
      </c>
      <c r="G380" s="6" t="s">
        <v>26</v>
      </c>
      <c r="H380" s="6" t="s">
        <v>27</v>
      </c>
      <c r="I380" s="6">
        <v>2</v>
      </c>
      <c r="J380" s="6">
        <v>6000</v>
      </c>
      <c r="K380" s="12">
        <v>5</v>
      </c>
      <c r="L380" s="13">
        <v>11400</v>
      </c>
      <c r="M380" s="13">
        <v>8318.43</v>
      </c>
      <c r="N380" s="6">
        <v>3081.57</v>
      </c>
      <c r="O380" s="6" t="s">
        <v>28</v>
      </c>
      <c r="P380" s="14">
        <v>45905</v>
      </c>
    </row>
    <row r="381" spans="1:16" ht="15.6" x14ac:dyDescent="0.3">
      <c r="A381" s="7" t="s">
        <v>435</v>
      </c>
      <c r="B381" s="8">
        <f t="shared" si="5"/>
        <v>46006</v>
      </c>
      <c r="C381" s="9" t="s">
        <v>30</v>
      </c>
      <c r="D381" s="9" t="s">
        <v>31</v>
      </c>
      <c r="E381" s="9" t="s">
        <v>35</v>
      </c>
      <c r="F381" s="9" t="s">
        <v>36</v>
      </c>
      <c r="G381" s="9" t="s">
        <v>26</v>
      </c>
      <c r="H381" s="9" t="s">
        <v>27</v>
      </c>
      <c r="I381" s="9">
        <v>10</v>
      </c>
      <c r="J381" s="9">
        <v>6000</v>
      </c>
      <c r="K381" s="15">
        <v>15</v>
      </c>
      <c r="L381" s="16">
        <v>51000</v>
      </c>
      <c r="M381" s="16">
        <v>37198.949999999997</v>
      </c>
      <c r="N381" s="9">
        <v>13801.05</v>
      </c>
      <c r="O381" s="9" t="s">
        <v>44</v>
      </c>
      <c r="P381" s="17">
        <v>46006</v>
      </c>
    </row>
    <row r="382" spans="1:16" ht="15.6" x14ac:dyDescent="0.3">
      <c r="A382" s="4" t="s">
        <v>436</v>
      </c>
      <c r="B382" s="5">
        <f t="shared" si="5"/>
        <v>45748</v>
      </c>
      <c r="C382" s="6" t="s">
        <v>40</v>
      </c>
      <c r="D382" s="6" t="s">
        <v>61</v>
      </c>
      <c r="E382" s="6" t="s">
        <v>35</v>
      </c>
      <c r="F382" s="6" t="s">
        <v>62</v>
      </c>
      <c r="G382" s="6" t="s">
        <v>26</v>
      </c>
      <c r="H382" s="6" t="s">
        <v>27</v>
      </c>
      <c r="I382" s="6">
        <v>2</v>
      </c>
      <c r="J382" s="6">
        <v>6000</v>
      </c>
      <c r="K382" s="12">
        <v>5</v>
      </c>
      <c r="L382" s="13">
        <v>11400</v>
      </c>
      <c r="M382" s="13">
        <v>10148.77</v>
      </c>
      <c r="N382" s="6">
        <v>1251.23</v>
      </c>
      <c r="O382" s="6" t="s">
        <v>44</v>
      </c>
      <c r="P382" s="14">
        <v>45748</v>
      </c>
    </row>
    <row r="383" spans="1:16" ht="15.6" x14ac:dyDescent="0.3">
      <c r="A383" s="7" t="s">
        <v>437</v>
      </c>
      <c r="B383" s="8">
        <f t="shared" si="5"/>
        <v>45675</v>
      </c>
      <c r="C383" s="9" t="s">
        <v>23</v>
      </c>
      <c r="D383" s="9" t="s">
        <v>90</v>
      </c>
      <c r="E383" s="9" t="s">
        <v>25</v>
      </c>
      <c r="F383" s="9" t="s">
        <v>51</v>
      </c>
      <c r="G383" s="9" t="s">
        <v>37</v>
      </c>
      <c r="H383" s="9" t="s">
        <v>56</v>
      </c>
      <c r="I383" s="9">
        <v>5</v>
      </c>
      <c r="J383" s="9">
        <v>2500</v>
      </c>
      <c r="K383" s="15">
        <v>0</v>
      </c>
      <c r="L383" s="16">
        <v>12500</v>
      </c>
      <c r="M383" s="16">
        <v>9790.9</v>
      </c>
      <c r="N383" s="9">
        <v>2709.1</v>
      </c>
      <c r="O383" s="9" t="s">
        <v>28</v>
      </c>
      <c r="P383" s="17">
        <v>45675</v>
      </c>
    </row>
    <row r="384" spans="1:16" ht="15.6" x14ac:dyDescent="0.3">
      <c r="A384" s="4" t="s">
        <v>438</v>
      </c>
      <c r="B384" s="5">
        <f t="shared" si="5"/>
        <v>45986</v>
      </c>
      <c r="C384" s="6" t="s">
        <v>40</v>
      </c>
      <c r="D384" s="6" t="s">
        <v>92</v>
      </c>
      <c r="E384" s="6" t="s">
        <v>25</v>
      </c>
      <c r="F384" s="6" t="s">
        <v>65</v>
      </c>
      <c r="G384" s="6" t="s">
        <v>19</v>
      </c>
      <c r="H384" s="6" t="s">
        <v>20</v>
      </c>
      <c r="I384" s="6">
        <v>1</v>
      </c>
      <c r="J384" s="6">
        <v>12000</v>
      </c>
      <c r="K384" s="12">
        <v>0</v>
      </c>
      <c r="L384" s="13">
        <v>12000</v>
      </c>
      <c r="M384" s="13">
        <v>8375.5400000000009</v>
      </c>
      <c r="N384" s="6">
        <v>3624.46</v>
      </c>
      <c r="O384" s="6" t="s">
        <v>28</v>
      </c>
      <c r="P384" s="14">
        <v>45986</v>
      </c>
    </row>
    <row r="385" spans="1:16" ht="15.6" x14ac:dyDescent="0.3">
      <c r="A385" s="7" t="s">
        <v>439</v>
      </c>
      <c r="B385" s="8">
        <f t="shared" si="5"/>
        <v>45699</v>
      </c>
      <c r="C385" s="9" t="s">
        <v>30</v>
      </c>
      <c r="D385" s="9" t="s">
        <v>50</v>
      </c>
      <c r="E385" s="9" t="s">
        <v>59</v>
      </c>
      <c r="F385" s="9" t="s">
        <v>18</v>
      </c>
      <c r="G385" s="9" t="s">
        <v>19</v>
      </c>
      <c r="H385" s="9" t="s">
        <v>52</v>
      </c>
      <c r="I385" s="9">
        <v>8</v>
      </c>
      <c r="J385" s="9">
        <v>1500</v>
      </c>
      <c r="K385" s="15">
        <v>0</v>
      </c>
      <c r="L385" s="16">
        <v>12000</v>
      </c>
      <c r="M385" s="16">
        <v>8062.3</v>
      </c>
      <c r="N385" s="9">
        <v>3937.7</v>
      </c>
      <c r="O385" s="9" t="s">
        <v>28</v>
      </c>
      <c r="P385" s="17">
        <v>45699</v>
      </c>
    </row>
    <row r="386" spans="1:16" ht="15.6" x14ac:dyDescent="0.3">
      <c r="A386" s="4" t="s">
        <v>440</v>
      </c>
      <c r="B386" s="5">
        <f t="shared" ref="B386:B449" si="6">DATE(YEAR(P386),MONTH(P386),DAY(P386))</f>
        <v>45673</v>
      </c>
      <c r="C386" s="6" t="s">
        <v>40</v>
      </c>
      <c r="D386" s="6" t="s">
        <v>41</v>
      </c>
      <c r="E386" s="6" t="s">
        <v>32</v>
      </c>
      <c r="F386" s="6" t="s">
        <v>18</v>
      </c>
      <c r="G386" s="6" t="s">
        <v>37</v>
      </c>
      <c r="H386" s="6" t="s">
        <v>56</v>
      </c>
      <c r="I386" s="6">
        <v>1</v>
      </c>
      <c r="J386" s="6">
        <v>2500</v>
      </c>
      <c r="K386" s="12">
        <v>10</v>
      </c>
      <c r="L386" s="13">
        <v>2250</v>
      </c>
      <c r="M386" s="13">
        <v>1520.06</v>
      </c>
      <c r="N386" s="6">
        <v>729.94</v>
      </c>
      <c r="O386" s="6" t="s">
        <v>21</v>
      </c>
      <c r="P386" s="14">
        <v>45673</v>
      </c>
    </row>
    <row r="387" spans="1:16" ht="15.6" x14ac:dyDescent="0.3">
      <c r="A387" s="7" t="s">
        <v>441</v>
      </c>
      <c r="B387" s="8">
        <f t="shared" si="6"/>
        <v>45673</v>
      </c>
      <c r="C387" s="9" t="s">
        <v>40</v>
      </c>
      <c r="D387" s="9" t="s">
        <v>41</v>
      </c>
      <c r="E387" s="9" t="s">
        <v>32</v>
      </c>
      <c r="F387" s="9" t="s">
        <v>42</v>
      </c>
      <c r="G387" s="9" t="s">
        <v>19</v>
      </c>
      <c r="H387" s="9" t="s">
        <v>43</v>
      </c>
      <c r="I387" s="9">
        <v>9</v>
      </c>
      <c r="J387" s="9">
        <v>55000</v>
      </c>
      <c r="K387" s="15">
        <v>0</v>
      </c>
      <c r="L387" s="16">
        <v>495000</v>
      </c>
      <c r="M387" s="16">
        <v>437846.98</v>
      </c>
      <c r="N387" s="9">
        <v>57153.02</v>
      </c>
      <c r="O387" s="9" t="s">
        <v>28</v>
      </c>
      <c r="P387" s="17">
        <v>45673</v>
      </c>
    </row>
    <row r="388" spans="1:16" ht="15.6" x14ac:dyDescent="0.3">
      <c r="A388" s="4" t="s">
        <v>442</v>
      </c>
      <c r="B388" s="5">
        <f t="shared" si="6"/>
        <v>46010</v>
      </c>
      <c r="C388" s="6" t="s">
        <v>40</v>
      </c>
      <c r="D388" s="6" t="s">
        <v>92</v>
      </c>
      <c r="E388" s="6" t="s">
        <v>48</v>
      </c>
      <c r="F388" s="6" t="s">
        <v>18</v>
      </c>
      <c r="G388" s="6" t="s">
        <v>26</v>
      </c>
      <c r="H388" s="6" t="s">
        <v>27</v>
      </c>
      <c r="I388" s="6">
        <v>6</v>
      </c>
      <c r="J388" s="6">
        <v>6000</v>
      </c>
      <c r="K388" s="12">
        <v>0</v>
      </c>
      <c r="L388" s="13">
        <v>36000</v>
      </c>
      <c r="M388" s="13">
        <v>25985.11</v>
      </c>
      <c r="N388" s="6">
        <v>10014.89</v>
      </c>
      <c r="O388" s="6" t="s">
        <v>21</v>
      </c>
      <c r="P388" s="14">
        <v>46010</v>
      </c>
    </row>
    <row r="389" spans="1:16" ht="15.6" x14ac:dyDescent="0.3">
      <c r="A389" s="7" t="s">
        <v>443</v>
      </c>
      <c r="B389" s="8">
        <f t="shared" si="6"/>
        <v>46012</v>
      </c>
      <c r="C389" s="9" t="s">
        <v>30</v>
      </c>
      <c r="D389" s="9" t="s">
        <v>31</v>
      </c>
      <c r="E389" s="9" t="s">
        <v>25</v>
      </c>
      <c r="F389" s="9" t="s">
        <v>51</v>
      </c>
      <c r="G389" s="9" t="s">
        <v>26</v>
      </c>
      <c r="H389" s="9" t="s">
        <v>70</v>
      </c>
      <c r="I389" s="9">
        <v>6</v>
      </c>
      <c r="J389" s="9">
        <v>10000</v>
      </c>
      <c r="K389" s="15">
        <v>10</v>
      </c>
      <c r="L389" s="16">
        <v>54000</v>
      </c>
      <c r="M389" s="16">
        <v>41087.730000000003</v>
      </c>
      <c r="N389" s="9">
        <v>12912.27</v>
      </c>
      <c r="O389" s="9" t="s">
        <v>28</v>
      </c>
      <c r="P389" s="17">
        <v>46012</v>
      </c>
    </row>
    <row r="390" spans="1:16" ht="15.6" x14ac:dyDescent="0.3">
      <c r="A390" s="4" t="s">
        <v>444</v>
      </c>
      <c r="B390" s="5">
        <f t="shared" si="6"/>
        <v>45785</v>
      </c>
      <c r="C390" s="6" t="s">
        <v>40</v>
      </c>
      <c r="D390" s="6" t="s">
        <v>61</v>
      </c>
      <c r="E390" s="6" t="s">
        <v>35</v>
      </c>
      <c r="F390" s="6" t="s">
        <v>62</v>
      </c>
      <c r="G390" s="6" t="s">
        <v>19</v>
      </c>
      <c r="H390" s="6" t="s">
        <v>52</v>
      </c>
      <c r="I390" s="6">
        <v>7</v>
      </c>
      <c r="J390" s="6">
        <v>1500</v>
      </c>
      <c r="K390" s="12">
        <v>5</v>
      </c>
      <c r="L390" s="13">
        <v>9975</v>
      </c>
      <c r="M390" s="13">
        <v>7309.26</v>
      </c>
      <c r="N390" s="6">
        <v>2665.74</v>
      </c>
      <c r="O390" s="6" t="s">
        <v>33</v>
      </c>
      <c r="P390" s="14">
        <v>45785</v>
      </c>
    </row>
    <row r="391" spans="1:16" ht="15.6" x14ac:dyDescent="0.3">
      <c r="A391" s="7" t="s">
        <v>445</v>
      </c>
      <c r="B391" s="8">
        <f t="shared" si="6"/>
        <v>45697</v>
      </c>
      <c r="C391" s="9" t="s">
        <v>40</v>
      </c>
      <c r="D391" s="9" t="s">
        <v>41</v>
      </c>
      <c r="E391" s="9" t="s">
        <v>17</v>
      </c>
      <c r="F391" s="9" t="s">
        <v>62</v>
      </c>
      <c r="G391" s="9" t="s">
        <v>26</v>
      </c>
      <c r="H391" s="9" t="s">
        <v>70</v>
      </c>
      <c r="I391" s="9">
        <v>2</v>
      </c>
      <c r="J391" s="9">
        <v>10000</v>
      </c>
      <c r="K391" s="15">
        <v>5</v>
      </c>
      <c r="L391" s="16">
        <v>19000</v>
      </c>
      <c r="M391" s="16">
        <v>14151.89</v>
      </c>
      <c r="N391" s="9">
        <v>4848.1099999999997</v>
      </c>
      <c r="O391" s="9" t="s">
        <v>44</v>
      </c>
      <c r="P391" s="17">
        <v>45697</v>
      </c>
    </row>
    <row r="392" spans="1:16" ht="15.6" x14ac:dyDescent="0.3">
      <c r="A392" s="4" t="s">
        <v>446</v>
      </c>
      <c r="B392" s="5">
        <f t="shared" si="6"/>
        <v>45744</v>
      </c>
      <c r="C392" s="6" t="s">
        <v>23</v>
      </c>
      <c r="D392" s="6" t="s">
        <v>24</v>
      </c>
      <c r="E392" s="6" t="s">
        <v>17</v>
      </c>
      <c r="F392" s="6" t="s">
        <v>65</v>
      </c>
      <c r="G392" s="6" t="s">
        <v>26</v>
      </c>
      <c r="H392" s="6" t="s">
        <v>27</v>
      </c>
      <c r="I392" s="6">
        <v>9</v>
      </c>
      <c r="J392" s="6">
        <v>6000</v>
      </c>
      <c r="K392" s="12">
        <v>5</v>
      </c>
      <c r="L392" s="13">
        <v>51300</v>
      </c>
      <c r="M392" s="13">
        <v>45320.160000000003</v>
      </c>
      <c r="N392" s="6">
        <v>5979.84</v>
      </c>
      <c r="O392" s="6" t="s">
        <v>33</v>
      </c>
      <c r="P392" s="14">
        <v>45744</v>
      </c>
    </row>
    <row r="393" spans="1:16" ht="15.6" x14ac:dyDescent="0.3">
      <c r="A393" s="7" t="s">
        <v>447</v>
      </c>
      <c r="B393" s="8">
        <f t="shared" si="6"/>
        <v>45990</v>
      </c>
      <c r="C393" s="9" t="s">
        <v>15</v>
      </c>
      <c r="D393" s="9" t="s">
        <v>55</v>
      </c>
      <c r="E393" s="9" t="s">
        <v>32</v>
      </c>
      <c r="F393" s="9" t="s">
        <v>62</v>
      </c>
      <c r="G393" s="9" t="s">
        <v>37</v>
      </c>
      <c r="H393" s="9" t="s">
        <v>72</v>
      </c>
      <c r="I393" s="9">
        <v>6</v>
      </c>
      <c r="J393" s="9">
        <v>800</v>
      </c>
      <c r="K393" s="15">
        <v>5</v>
      </c>
      <c r="L393" s="16">
        <v>4560</v>
      </c>
      <c r="M393" s="16">
        <v>3895.37</v>
      </c>
      <c r="N393" s="9">
        <v>664.63</v>
      </c>
      <c r="O393" s="9" t="s">
        <v>28</v>
      </c>
      <c r="P393" s="17">
        <v>45990</v>
      </c>
    </row>
    <row r="394" spans="1:16" ht="15.6" x14ac:dyDescent="0.3">
      <c r="A394" s="4" t="s">
        <v>448</v>
      </c>
      <c r="B394" s="5">
        <f t="shared" si="6"/>
        <v>45693</v>
      </c>
      <c r="C394" s="6" t="s">
        <v>30</v>
      </c>
      <c r="D394" s="6" t="s">
        <v>31</v>
      </c>
      <c r="E394" s="6" t="s">
        <v>35</v>
      </c>
      <c r="F394" s="6" t="s">
        <v>65</v>
      </c>
      <c r="G394" s="6" t="s">
        <v>26</v>
      </c>
      <c r="H394" s="6" t="s">
        <v>27</v>
      </c>
      <c r="I394" s="6">
        <v>5</v>
      </c>
      <c r="J394" s="6">
        <v>6000</v>
      </c>
      <c r="K394" s="12">
        <v>0</v>
      </c>
      <c r="L394" s="13">
        <v>30000</v>
      </c>
      <c r="M394" s="13">
        <v>20496.7</v>
      </c>
      <c r="N394" s="6">
        <v>9503.2999999999993</v>
      </c>
      <c r="O394" s="6" t="s">
        <v>28</v>
      </c>
      <c r="P394" s="14">
        <v>45693</v>
      </c>
    </row>
    <row r="395" spans="1:16" ht="15.6" x14ac:dyDescent="0.3">
      <c r="A395" s="7" t="s">
        <v>449</v>
      </c>
      <c r="B395" s="8">
        <f t="shared" si="6"/>
        <v>45821</v>
      </c>
      <c r="C395" s="9" t="s">
        <v>23</v>
      </c>
      <c r="D395" s="9" t="s">
        <v>90</v>
      </c>
      <c r="E395" s="9" t="s">
        <v>32</v>
      </c>
      <c r="F395" s="9" t="s">
        <v>51</v>
      </c>
      <c r="G395" s="9" t="s">
        <v>19</v>
      </c>
      <c r="H395" s="9" t="s">
        <v>52</v>
      </c>
      <c r="I395" s="9">
        <v>7</v>
      </c>
      <c r="J395" s="9">
        <v>1500</v>
      </c>
      <c r="K395" s="15">
        <v>10</v>
      </c>
      <c r="L395" s="16">
        <v>9450</v>
      </c>
      <c r="M395" s="16">
        <v>6964.46</v>
      </c>
      <c r="N395" s="9">
        <v>2485.54</v>
      </c>
      <c r="O395" s="9" t="s">
        <v>33</v>
      </c>
      <c r="P395" s="17">
        <v>45821</v>
      </c>
    </row>
    <row r="396" spans="1:16" ht="15.6" x14ac:dyDescent="0.3">
      <c r="A396" s="4" t="s">
        <v>450</v>
      </c>
      <c r="B396" s="5">
        <f t="shared" si="6"/>
        <v>45877</v>
      </c>
      <c r="C396" s="6" t="s">
        <v>30</v>
      </c>
      <c r="D396" s="6" t="s">
        <v>31</v>
      </c>
      <c r="E396" s="6" t="s">
        <v>48</v>
      </c>
      <c r="F396" s="6" t="s">
        <v>42</v>
      </c>
      <c r="G396" s="6" t="s">
        <v>19</v>
      </c>
      <c r="H396" s="6" t="s">
        <v>52</v>
      </c>
      <c r="I396" s="6">
        <v>2</v>
      </c>
      <c r="J396" s="6">
        <v>1500</v>
      </c>
      <c r="K396" s="12">
        <v>0</v>
      </c>
      <c r="L396" s="13">
        <v>3000</v>
      </c>
      <c r="M396" s="13">
        <v>2490.9499999999998</v>
      </c>
      <c r="N396" s="6">
        <v>509.05</v>
      </c>
      <c r="O396" s="6" t="s">
        <v>33</v>
      </c>
      <c r="P396" s="14">
        <v>45877</v>
      </c>
    </row>
    <row r="397" spans="1:16" ht="15.6" x14ac:dyDescent="0.3">
      <c r="A397" s="7" t="s">
        <v>451</v>
      </c>
      <c r="B397" s="8">
        <f t="shared" si="6"/>
        <v>45811</v>
      </c>
      <c r="C397" s="9" t="s">
        <v>23</v>
      </c>
      <c r="D397" s="9" t="s">
        <v>90</v>
      </c>
      <c r="E397" s="9" t="s">
        <v>35</v>
      </c>
      <c r="F397" s="9" t="s">
        <v>51</v>
      </c>
      <c r="G397" s="9" t="s">
        <v>26</v>
      </c>
      <c r="H397" s="9" t="s">
        <v>70</v>
      </c>
      <c r="I397" s="9">
        <v>2</v>
      </c>
      <c r="J397" s="9">
        <v>10000</v>
      </c>
      <c r="K397" s="15">
        <v>0</v>
      </c>
      <c r="L397" s="16">
        <v>20000</v>
      </c>
      <c r="M397" s="16">
        <v>13326.33</v>
      </c>
      <c r="N397" s="9">
        <v>6673.67</v>
      </c>
      <c r="O397" s="9" t="s">
        <v>44</v>
      </c>
      <c r="P397" s="17">
        <v>45811</v>
      </c>
    </row>
    <row r="398" spans="1:16" ht="15.6" x14ac:dyDescent="0.3">
      <c r="A398" s="4" t="s">
        <v>452</v>
      </c>
      <c r="B398" s="5">
        <f t="shared" si="6"/>
        <v>45740</v>
      </c>
      <c r="C398" s="6" t="s">
        <v>15</v>
      </c>
      <c r="D398" s="6" t="s">
        <v>55</v>
      </c>
      <c r="E398" s="6" t="s">
        <v>25</v>
      </c>
      <c r="F398" s="6" t="s">
        <v>18</v>
      </c>
      <c r="G398" s="6" t="s">
        <v>19</v>
      </c>
      <c r="H398" s="6" t="s">
        <v>43</v>
      </c>
      <c r="I398" s="6">
        <v>8</v>
      </c>
      <c r="J398" s="6">
        <v>55000</v>
      </c>
      <c r="K398" s="12">
        <v>0</v>
      </c>
      <c r="L398" s="13">
        <v>440000</v>
      </c>
      <c r="M398" s="13">
        <v>357793.21</v>
      </c>
      <c r="N398" s="6">
        <v>82206.789999999994</v>
      </c>
      <c r="O398" s="6" t="s">
        <v>28</v>
      </c>
      <c r="P398" s="14">
        <v>45740</v>
      </c>
    </row>
    <row r="399" spans="1:16" ht="15.6" x14ac:dyDescent="0.3">
      <c r="A399" s="7" t="s">
        <v>453</v>
      </c>
      <c r="B399" s="8">
        <f t="shared" si="6"/>
        <v>45680</v>
      </c>
      <c r="C399" s="9" t="s">
        <v>23</v>
      </c>
      <c r="D399" s="9" t="s">
        <v>58</v>
      </c>
      <c r="E399" s="9" t="s">
        <v>17</v>
      </c>
      <c r="F399" s="9" t="s">
        <v>36</v>
      </c>
      <c r="G399" s="9" t="s">
        <v>37</v>
      </c>
      <c r="H399" s="9" t="s">
        <v>38</v>
      </c>
      <c r="I399" s="9">
        <v>8</v>
      </c>
      <c r="J399" s="9">
        <v>900</v>
      </c>
      <c r="K399" s="15">
        <v>15</v>
      </c>
      <c r="L399" s="16">
        <v>6120</v>
      </c>
      <c r="M399" s="16">
        <v>4958.93</v>
      </c>
      <c r="N399" s="9">
        <v>1161.07</v>
      </c>
      <c r="O399" s="9" t="s">
        <v>21</v>
      </c>
      <c r="P399" s="17">
        <v>45680</v>
      </c>
    </row>
    <row r="400" spans="1:16" ht="15.6" x14ac:dyDescent="0.3">
      <c r="A400" s="4" t="s">
        <v>454</v>
      </c>
      <c r="B400" s="5">
        <f t="shared" si="6"/>
        <v>45904</v>
      </c>
      <c r="C400" s="6" t="s">
        <v>15</v>
      </c>
      <c r="D400" s="6" t="s">
        <v>55</v>
      </c>
      <c r="E400" s="6" t="s">
        <v>59</v>
      </c>
      <c r="F400" s="6" t="s">
        <v>62</v>
      </c>
      <c r="G400" s="6" t="s">
        <v>26</v>
      </c>
      <c r="H400" s="6" t="s">
        <v>70</v>
      </c>
      <c r="I400" s="6">
        <v>4</v>
      </c>
      <c r="J400" s="6">
        <v>10000</v>
      </c>
      <c r="K400" s="12">
        <v>10</v>
      </c>
      <c r="L400" s="13">
        <v>36000</v>
      </c>
      <c r="M400" s="13">
        <v>30125.26</v>
      </c>
      <c r="N400" s="6">
        <v>5874.74</v>
      </c>
      <c r="O400" s="6" t="s">
        <v>33</v>
      </c>
      <c r="P400" s="14">
        <v>45904</v>
      </c>
    </row>
    <row r="401" spans="1:16" ht="15.6" x14ac:dyDescent="0.3">
      <c r="A401" s="7" t="s">
        <v>455</v>
      </c>
      <c r="B401" s="8">
        <f t="shared" si="6"/>
        <v>45914</v>
      </c>
      <c r="C401" s="9" t="s">
        <v>40</v>
      </c>
      <c r="D401" s="9" t="s">
        <v>61</v>
      </c>
      <c r="E401" s="9" t="s">
        <v>17</v>
      </c>
      <c r="F401" s="9" t="s">
        <v>65</v>
      </c>
      <c r="G401" s="9" t="s">
        <v>26</v>
      </c>
      <c r="H401" s="9" t="s">
        <v>27</v>
      </c>
      <c r="I401" s="9">
        <v>6</v>
      </c>
      <c r="J401" s="9">
        <v>6000</v>
      </c>
      <c r="K401" s="15">
        <v>0</v>
      </c>
      <c r="L401" s="16">
        <v>36000</v>
      </c>
      <c r="M401" s="16">
        <v>30616.98</v>
      </c>
      <c r="N401" s="9">
        <v>5383.02</v>
      </c>
      <c r="O401" s="9" t="s">
        <v>33</v>
      </c>
      <c r="P401" s="17">
        <v>45914</v>
      </c>
    </row>
    <row r="402" spans="1:16" ht="15.6" x14ac:dyDescent="0.3">
      <c r="A402" s="4" t="s">
        <v>456</v>
      </c>
      <c r="B402" s="5">
        <f t="shared" si="6"/>
        <v>45977</v>
      </c>
      <c r="C402" s="6" t="s">
        <v>15</v>
      </c>
      <c r="D402" s="6" t="s">
        <v>16</v>
      </c>
      <c r="E402" s="6" t="s">
        <v>35</v>
      </c>
      <c r="F402" s="6" t="s">
        <v>42</v>
      </c>
      <c r="G402" s="6" t="s">
        <v>26</v>
      </c>
      <c r="H402" s="6" t="s">
        <v>70</v>
      </c>
      <c r="I402" s="6">
        <v>4</v>
      </c>
      <c r="J402" s="6">
        <v>10000</v>
      </c>
      <c r="K402" s="12">
        <v>0</v>
      </c>
      <c r="L402" s="13">
        <v>40000</v>
      </c>
      <c r="M402" s="13">
        <v>32356.639999999999</v>
      </c>
      <c r="N402" s="6">
        <v>7643.36</v>
      </c>
      <c r="O402" s="6" t="s">
        <v>44</v>
      </c>
      <c r="P402" s="14">
        <v>45977</v>
      </c>
    </row>
    <row r="403" spans="1:16" ht="15.6" x14ac:dyDescent="0.3">
      <c r="A403" s="7" t="s">
        <v>457</v>
      </c>
      <c r="B403" s="8">
        <f t="shared" si="6"/>
        <v>45946</v>
      </c>
      <c r="C403" s="9" t="s">
        <v>40</v>
      </c>
      <c r="D403" s="9" t="s">
        <v>92</v>
      </c>
      <c r="E403" s="9" t="s">
        <v>32</v>
      </c>
      <c r="F403" s="9" t="s">
        <v>42</v>
      </c>
      <c r="G403" s="9" t="s">
        <v>19</v>
      </c>
      <c r="H403" s="9" t="s">
        <v>52</v>
      </c>
      <c r="I403" s="9">
        <v>7</v>
      </c>
      <c r="J403" s="9">
        <v>1500</v>
      </c>
      <c r="K403" s="15">
        <v>5</v>
      </c>
      <c r="L403" s="16">
        <v>9975</v>
      </c>
      <c r="M403" s="16">
        <v>6549.15</v>
      </c>
      <c r="N403" s="9">
        <v>3425.85</v>
      </c>
      <c r="O403" s="9" t="s">
        <v>33</v>
      </c>
      <c r="P403" s="17">
        <v>45946</v>
      </c>
    </row>
    <row r="404" spans="1:16" ht="15.6" x14ac:dyDescent="0.3">
      <c r="A404" s="4" t="s">
        <v>458</v>
      </c>
      <c r="B404" s="5">
        <f t="shared" si="6"/>
        <v>45773</v>
      </c>
      <c r="C404" s="6" t="s">
        <v>30</v>
      </c>
      <c r="D404" s="6" t="s">
        <v>50</v>
      </c>
      <c r="E404" s="6" t="s">
        <v>32</v>
      </c>
      <c r="F404" s="6" t="s">
        <v>62</v>
      </c>
      <c r="G404" s="6" t="s">
        <v>26</v>
      </c>
      <c r="H404" s="6" t="s">
        <v>70</v>
      </c>
      <c r="I404" s="6">
        <v>5</v>
      </c>
      <c r="J404" s="6">
        <v>10000</v>
      </c>
      <c r="K404" s="12">
        <v>5</v>
      </c>
      <c r="L404" s="13">
        <v>47500</v>
      </c>
      <c r="M404" s="13">
        <v>33893.879999999997</v>
      </c>
      <c r="N404" s="6">
        <v>13606.12</v>
      </c>
      <c r="O404" s="6" t="s">
        <v>28</v>
      </c>
      <c r="P404" s="14">
        <v>45773</v>
      </c>
    </row>
    <row r="405" spans="1:16" ht="15.6" x14ac:dyDescent="0.3">
      <c r="A405" s="7" t="s">
        <v>459</v>
      </c>
      <c r="B405" s="8">
        <f t="shared" si="6"/>
        <v>45676</v>
      </c>
      <c r="C405" s="9" t="s">
        <v>23</v>
      </c>
      <c r="D405" s="9" t="s">
        <v>90</v>
      </c>
      <c r="E405" s="9" t="s">
        <v>25</v>
      </c>
      <c r="F405" s="9" t="s">
        <v>65</v>
      </c>
      <c r="G405" s="9" t="s">
        <v>19</v>
      </c>
      <c r="H405" s="9" t="s">
        <v>52</v>
      </c>
      <c r="I405" s="9">
        <v>7</v>
      </c>
      <c r="J405" s="9">
        <v>1500</v>
      </c>
      <c r="K405" s="15">
        <v>15</v>
      </c>
      <c r="L405" s="16">
        <v>8925</v>
      </c>
      <c r="M405" s="16">
        <v>7297.52</v>
      </c>
      <c r="N405" s="9">
        <v>1627.48</v>
      </c>
      <c r="O405" s="9" t="s">
        <v>21</v>
      </c>
      <c r="P405" s="17">
        <v>45676</v>
      </c>
    </row>
    <row r="406" spans="1:16" ht="15.6" x14ac:dyDescent="0.3">
      <c r="A406" s="4" t="s">
        <v>460</v>
      </c>
      <c r="B406" s="5">
        <f t="shared" si="6"/>
        <v>45894</v>
      </c>
      <c r="C406" s="6" t="s">
        <v>23</v>
      </c>
      <c r="D406" s="6" t="s">
        <v>24</v>
      </c>
      <c r="E406" s="6" t="s">
        <v>17</v>
      </c>
      <c r="F406" s="6" t="s">
        <v>36</v>
      </c>
      <c r="G406" s="6" t="s">
        <v>37</v>
      </c>
      <c r="H406" s="6" t="s">
        <v>72</v>
      </c>
      <c r="I406" s="6">
        <v>6</v>
      </c>
      <c r="J406" s="6">
        <v>800</v>
      </c>
      <c r="K406" s="12">
        <v>0</v>
      </c>
      <c r="L406" s="13">
        <v>4800</v>
      </c>
      <c r="M406" s="13">
        <v>4197.03</v>
      </c>
      <c r="N406" s="6">
        <v>602.97</v>
      </c>
      <c r="O406" s="6" t="s">
        <v>21</v>
      </c>
      <c r="P406" s="14">
        <v>45894</v>
      </c>
    </row>
    <row r="407" spans="1:16" ht="15.6" x14ac:dyDescent="0.3">
      <c r="A407" s="7" t="s">
        <v>461</v>
      </c>
      <c r="B407" s="8">
        <f t="shared" si="6"/>
        <v>45965</v>
      </c>
      <c r="C407" s="9" t="s">
        <v>30</v>
      </c>
      <c r="D407" s="9" t="s">
        <v>50</v>
      </c>
      <c r="E407" s="9" t="s">
        <v>17</v>
      </c>
      <c r="F407" s="9" t="s">
        <v>62</v>
      </c>
      <c r="G407" s="9" t="s">
        <v>37</v>
      </c>
      <c r="H407" s="9" t="s">
        <v>38</v>
      </c>
      <c r="I407" s="9">
        <v>3</v>
      </c>
      <c r="J407" s="9">
        <v>900</v>
      </c>
      <c r="K407" s="15">
        <v>5</v>
      </c>
      <c r="L407" s="16">
        <v>2565</v>
      </c>
      <c r="M407" s="16">
        <v>1974.02</v>
      </c>
      <c r="N407" s="9">
        <v>590.98</v>
      </c>
      <c r="O407" s="9" t="s">
        <v>21</v>
      </c>
      <c r="P407" s="17">
        <v>45965</v>
      </c>
    </row>
    <row r="408" spans="1:16" ht="15.6" x14ac:dyDescent="0.3">
      <c r="A408" s="4" t="s">
        <v>462</v>
      </c>
      <c r="B408" s="5">
        <f t="shared" si="6"/>
        <v>45724</v>
      </c>
      <c r="C408" s="6" t="s">
        <v>15</v>
      </c>
      <c r="D408" s="6" t="s">
        <v>16</v>
      </c>
      <c r="E408" s="6" t="s">
        <v>48</v>
      </c>
      <c r="F408" s="6" t="s">
        <v>51</v>
      </c>
      <c r="G408" s="6" t="s">
        <v>26</v>
      </c>
      <c r="H408" s="6" t="s">
        <v>27</v>
      </c>
      <c r="I408" s="6">
        <v>4</v>
      </c>
      <c r="J408" s="6">
        <v>6000</v>
      </c>
      <c r="K408" s="12">
        <v>15</v>
      </c>
      <c r="L408" s="13">
        <v>20400</v>
      </c>
      <c r="M408" s="13">
        <v>16714.259999999998</v>
      </c>
      <c r="N408" s="6">
        <v>3685.74</v>
      </c>
      <c r="O408" s="6" t="s">
        <v>28</v>
      </c>
      <c r="P408" s="14">
        <v>45724</v>
      </c>
    </row>
    <row r="409" spans="1:16" ht="15.6" x14ac:dyDescent="0.3">
      <c r="A409" s="7" t="s">
        <v>463</v>
      </c>
      <c r="B409" s="8">
        <f t="shared" si="6"/>
        <v>45685</v>
      </c>
      <c r="C409" s="9" t="s">
        <v>40</v>
      </c>
      <c r="D409" s="9" t="s">
        <v>41</v>
      </c>
      <c r="E409" s="9" t="s">
        <v>25</v>
      </c>
      <c r="F409" s="9" t="s">
        <v>65</v>
      </c>
      <c r="G409" s="9" t="s">
        <v>37</v>
      </c>
      <c r="H409" s="9" t="s">
        <v>56</v>
      </c>
      <c r="I409" s="9">
        <v>3</v>
      </c>
      <c r="J409" s="9">
        <v>2500</v>
      </c>
      <c r="K409" s="15">
        <v>10</v>
      </c>
      <c r="L409" s="16">
        <v>6750</v>
      </c>
      <c r="M409" s="16">
        <v>4700.84</v>
      </c>
      <c r="N409" s="9">
        <v>2049.16</v>
      </c>
      <c r="O409" s="9" t="s">
        <v>21</v>
      </c>
      <c r="P409" s="17">
        <v>45685</v>
      </c>
    </row>
    <row r="410" spans="1:16" ht="15.6" x14ac:dyDescent="0.3">
      <c r="A410" s="4" t="s">
        <v>464</v>
      </c>
      <c r="B410" s="5">
        <f t="shared" si="6"/>
        <v>45873</v>
      </c>
      <c r="C410" s="6" t="s">
        <v>15</v>
      </c>
      <c r="D410" s="6" t="s">
        <v>55</v>
      </c>
      <c r="E410" s="6" t="s">
        <v>25</v>
      </c>
      <c r="F410" s="6" t="s">
        <v>36</v>
      </c>
      <c r="G410" s="6" t="s">
        <v>19</v>
      </c>
      <c r="H410" s="6" t="s">
        <v>43</v>
      </c>
      <c r="I410" s="6">
        <v>8</v>
      </c>
      <c r="J410" s="6">
        <v>55000</v>
      </c>
      <c r="K410" s="12">
        <v>10</v>
      </c>
      <c r="L410" s="13">
        <v>396000</v>
      </c>
      <c r="M410" s="13">
        <v>294730.15000000002</v>
      </c>
      <c r="N410" s="6">
        <v>101269.85</v>
      </c>
      <c r="O410" s="6" t="s">
        <v>28</v>
      </c>
      <c r="P410" s="14">
        <v>45873</v>
      </c>
    </row>
    <row r="411" spans="1:16" ht="15.6" x14ac:dyDescent="0.3">
      <c r="A411" s="7" t="s">
        <v>465</v>
      </c>
      <c r="B411" s="8">
        <f t="shared" si="6"/>
        <v>45731</v>
      </c>
      <c r="C411" s="9" t="s">
        <v>15</v>
      </c>
      <c r="D411" s="9" t="s">
        <v>16</v>
      </c>
      <c r="E411" s="9" t="s">
        <v>17</v>
      </c>
      <c r="F411" s="9" t="s">
        <v>65</v>
      </c>
      <c r="G411" s="9" t="s">
        <v>26</v>
      </c>
      <c r="H411" s="9" t="s">
        <v>27</v>
      </c>
      <c r="I411" s="9">
        <v>1</v>
      </c>
      <c r="J411" s="9">
        <v>6000</v>
      </c>
      <c r="K411" s="15">
        <v>5</v>
      </c>
      <c r="L411" s="16">
        <v>5700</v>
      </c>
      <c r="M411" s="16">
        <v>4986.75</v>
      </c>
      <c r="N411" s="9">
        <v>713.25</v>
      </c>
      <c r="O411" s="9" t="s">
        <v>28</v>
      </c>
      <c r="P411" s="17">
        <v>45731</v>
      </c>
    </row>
    <row r="412" spans="1:16" ht="15.6" x14ac:dyDescent="0.3">
      <c r="A412" s="4" t="s">
        <v>466</v>
      </c>
      <c r="B412" s="5">
        <f t="shared" si="6"/>
        <v>46005</v>
      </c>
      <c r="C412" s="6" t="s">
        <v>23</v>
      </c>
      <c r="D412" s="6" t="s">
        <v>24</v>
      </c>
      <c r="E412" s="6" t="s">
        <v>48</v>
      </c>
      <c r="F412" s="6" t="s">
        <v>42</v>
      </c>
      <c r="G412" s="6" t="s">
        <v>19</v>
      </c>
      <c r="H412" s="6" t="s">
        <v>20</v>
      </c>
      <c r="I412" s="6">
        <v>6</v>
      </c>
      <c r="J412" s="6">
        <v>12000</v>
      </c>
      <c r="K412" s="12">
        <v>5</v>
      </c>
      <c r="L412" s="13">
        <v>68400</v>
      </c>
      <c r="M412" s="13">
        <v>53408.42</v>
      </c>
      <c r="N412" s="6">
        <v>14991.58</v>
      </c>
      <c r="O412" s="6" t="s">
        <v>44</v>
      </c>
      <c r="P412" s="14">
        <v>46005</v>
      </c>
    </row>
    <row r="413" spans="1:16" ht="15.6" x14ac:dyDescent="0.3">
      <c r="A413" s="7" t="s">
        <v>467</v>
      </c>
      <c r="B413" s="8">
        <f t="shared" si="6"/>
        <v>45690</v>
      </c>
      <c r="C413" s="9" t="s">
        <v>40</v>
      </c>
      <c r="D413" s="9" t="s">
        <v>41</v>
      </c>
      <c r="E413" s="9" t="s">
        <v>48</v>
      </c>
      <c r="F413" s="9" t="s">
        <v>51</v>
      </c>
      <c r="G413" s="9" t="s">
        <v>19</v>
      </c>
      <c r="H413" s="9" t="s">
        <v>43</v>
      </c>
      <c r="I413" s="9">
        <v>6</v>
      </c>
      <c r="J413" s="9">
        <v>55000</v>
      </c>
      <c r="K413" s="15">
        <v>0</v>
      </c>
      <c r="L413" s="16">
        <v>330000</v>
      </c>
      <c r="M413" s="16">
        <v>245705.42</v>
      </c>
      <c r="N413" s="9">
        <v>84294.58</v>
      </c>
      <c r="O413" s="9" t="s">
        <v>33</v>
      </c>
      <c r="P413" s="17">
        <v>45690</v>
      </c>
    </row>
    <row r="414" spans="1:16" ht="15.6" x14ac:dyDescent="0.3">
      <c r="A414" s="4" t="s">
        <v>468</v>
      </c>
      <c r="B414" s="5">
        <f t="shared" si="6"/>
        <v>45738</v>
      </c>
      <c r="C414" s="6" t="s">
        <v>30</v>
      </c>
      <c r="D414" s="6" t="s">
        <v>50</v>
      </c>
      <c r="E414" s="6" t="s">
        <v>25</v>
      </c>
      <c r="F414" s="6" t="s">
        <v>18</v>
      </c>
      <c r="G414" s="6" t="s">
        <v>19</v>
      </c>
      <c r="H414" s="6" t="s">
        <v>52</v>
      </c>
      <c r="I414" s="6">
        <v>1</v>
      </c>
      <c r="J414" s="6">
        <v>1500</v>
      </c>
      <c r="K414" s="12">
        <v>0</v>
      </c>
      <c r="L414" s="13">
        <v>1500</v>
      </c>
      <c r="M414" s="13">
        <v>1147.32</v>
      </c>
      <c r="N414" s="6">
        <v>352.68</v>
      </c>
      <c r="O414" s="6" t="s">
        <v>44</v>
      </c>
      <c r="P414" s="14">
        <v>45738</v>
      </c>
    </row>
    <row r="415" spans="1:16" ht="15.6" x14ac:dyDescent="0.3">
      <c r="A415" s="7" t="s">
        <v>469</v>
      </c>
      <c r="B415" s="8">
        <f t="shared" si="6"/>
        <v>45921</v>
      </c>
      <c r="C415" s="9" t="s">
        <v>30</v>
      </c>
      <c r="D415" s="9" t="s">
        <v>50</v>
      </c>
      <c r="E415" s="9" t="s">
        <v>48</v>
      </c>
      <c r="F415" s="9" t="s">
        <v>65</v>
      </c>
      <c r="G415" s="9" t="s">
        <v>19</v>
      </c>
      <c r="H415" s="9" t="s">
        <v>43</v>
      </c>
      <c r="I415" s="9">
        <v>4</v>
      </c>
      <c r="J415" s="9">
        <v>55000</v>
      </c>
      <c r="K415" s="15">
        <v>15</v>
      </c>
      <c r="L415" s="16">
        <v>187000</v>
      </c>
      <c r="M415" s="16">
        <v>157189.53</v>
      </c>
      <c r="N415" s="9">
        <v>29810.47</v>
      </c>
      <c r="O415" s="9" t="s">
        <v>21</v>
      </c>
      <c r="P415" s="17">
        <v>45921</v>
      </c>
    </row>
    <row r="416" spans="1:16" ht="15.6" x14ac:dyDescent="0.3">
      <c r="A416" s="4" t="s">
        <v>470</v>
      </c>
      <c r="B416" s="5">
        <f t="shared" si="6"/>
        <v>45849</v>
      </c>
      <c r="C416" s="6" t="s">
        <v>30</v>
      </c>
      <c r="D416" s="6" t="s">
        <v>31</v>
      </c>
      <c r="E416" s="6" t="s">
        <v>17</v>
      </c>
      <c r="F416" s="6" t="s">
        <v>65</v>
      </c>
      <c r="G416" s="6" t="s">
        <v>19</v>
      </c>
      <c r="H416" s="6" t="s">
        <v>43</v>
      </c>
      <c r="I416" s="6">
        <v>4</v>
      </c>
      <c r="J416" s="6">
        <v>55000</v>
      </c>
      <c r="K416" s="12">
        <v>10</v>
      </c>
      <c r="L416" s="13">
        <v>198000</v>
      </c>
      <c r="M416" s="13">
        <v>158881.24</v>
      </c>
      <c r="N416" s="6">
        <v>39118.76</v>
      </c>
      <c r="O416" s="6" t="s">
        <v>28</v>
      </c>
      <c r="P416" s="14">
        <v>45849</v>
      </c>
    </row>
    <row r="417" spans="1:16" ht="15.6" x14ac:dyDescent="0.3">
      <c r="A417" s="7" t="s">
        <v>471</v>
      </c>
      <c r="B417" s="8">
        <f t="shared" si="6"/>
        <v>45737</v>
      </c>
      <c r="C417" s="9" t="s">
        <v>40</v>
      </c>
      <c r="D417" s="9" t="s">
        <v>41</v>
      </c>
      <c r="E417" s="9" t="s">
        <v>17</v>
      </c>
      <c r="F417" s="9" t="s">
        <v>42</v>
      </c>
      <c r="G417" s="9" t="s">
        <v>26</v>
      </c>
      <c r="H417" s="9" t="s">
        <v>27</v>
      </c>
      <c r="I417" s="9">
        <v>4</v>
      </c>
      <c r="J417" s="9">
        <v>6000</v>
      </c>
      <c r="K417" s="15">
        <v>15</v>
      </c>
      <c r="L417" s="16">
        <v>20400</v>
      </c>
      <c r="M417" s="16">
        <v>17448.509999999998</v>
      </c>
      <c r="N417" s="9">
        <v>2951.49</v>
      </c>
      <c r="O417" s="9" t="s">
        <v>33</v>
      </c>
      <c r="P417" s="17">
        <v>45737</v>
      </c>
    </row>
    <row r="418" spans="1:16" ht="15.6" x14ac:dyDescent="0.3">
      <c r="A418" s="4" t="s">
        <v>472</v>
      </c>
      <c r="B418" s="5">
        <f t="shared" si="6"/>
        <v>45943</v>
      </c>
      <c r="C418" s="6" t="s">
        <v>23</v>
      </c>
      <c r="D418" s="6" t="s">
        <v>90</v>
      </c>
      <c r="E418" s="6" t="s">
        <v>35</v>
      </c>
      <c r="F418" s="6" t="s">
        <v>51</v>
      </c>
      <c r="G418" s="6" t="s">
        <v>19</v>
      </c>
      <c r="H418" s="6" t="s">
        <v>43</v>
      </c>
      <c r="I418" s="6">
        <v>10</v>
      </c>
      <c r="J418" s="6">
        <v>55000</v>
      </c>
      <c r="K418" s="12">
        <v>5</v>
      </c>
      <c r="L418" s="13">
        <v>522500</v>
      </c>
      <c r="M418" s="13">
        <v>407407.58</v>
      </c>
      <c r="N418" s="6">
        <v>115092.42</v>
      </c>
      <c r="O418" s="6" t="s">
        <v>28</v>
      </c>
      <c r="P418" s="14">
        <v>45943</v>
      </c>
    </row>
    <row r="419" spans="1:16" ht="15.6" x14ac:dyDescent="0.3">
      <c r="A419" s="7" t="s">
        <v>473</v>
      </c>
      <c r="B419" s="8">
        <f t="shared" si="6"/>
        <v>46011</v>
      </c>
      <c r="C419" s="9" t="s">
        <v>30</v>
      </c>
      <c r="D419" s="9" t="s">
        <v>31</v>
      </c>
      <c r="E419" s="9" t="s">
        <v>59</v>
      </c>
      <c r="F419" s="9" t="s">
        <v>62</v>
      </c>
      <c r="G419" s="9" t="s">
        <v>37</v>
      </c>
      <c r="H419" s="9" t="s">
        <v>56</v>
      </c>
      <c r="I419" s="9">
        <v>2</v>
      </c>
      <c r="J419" s="9">
        <v>2500</v>
      </c>
      <c r="K419" s="15">
        <v>10</v>
      </c>
      <c r="L419" s="16">
        <v>4500</v>
      </c>
      <c r="M419" s="16">
        <v>3718.59</v>
      </c>
      <c r="N419" s="9">
        <v>781.41</v>
      </c>
      <c r="O419" s="9" t="s">
        <v>33</v>
      </c>
      <c r="P419" s="17">
        <v>46011</v>
      </c>
    </row>
    <row r="420" spans="1:16" ht="15.6" x14ac:dyDescent="0.3">
      <c r="A420" s="4" t="s">
        <v>474</v>
      </c>
      <c r="B420" s="5">
        <f t="shared" si="6"/>
        <v>45675</v>
      </c>
      <c r="C420" s="6" t="s">
        <v>15</v>
      </c>
      <c r="D420" s="6" t="s">
        <v>16</v>
      </c>
      <c r="E420" s="6" t="s">
        <v>48</v>
      </c>
      <c r="F420" s="6" t="s">
        <v>18</v>
      </c>
      <c r="G420" s="6" t="s">
        <v>37</v>
      </c>
      <c r="H420" s="6" t="s">
        <v>56</v>
      </c>
      <c r="I420" s="6">
        <v>10</v>
      </c>
      <c r="J420" s="6">
        <v>2500</v>
      </c>
      <c r="K420" s="12">
        <v>0</v>
      </c>
      <c r="L420" s="13">
        <v>25000</v>
      </c>
      <c r="M420" s="13">
        <v>18747.39</v>
      </c>
      <c r="N420" s="6">
        <v>6252.61</v>
      </c>
      <c r="O420" s="6" t="s">
        <v>28</v>
      </c>
      <c r="P420" s="14">
        <v>45675</v>
      </c>
    </row>
    <row r="421" spans="1:16" ht="15.6" x14ac:dyDescent="0.3">
      <c r="A421" s="7" t="s">
        <v>475</v>
      </c>
      <c r="B421" s="8">
        <f t="shared" si="6"/>
        <v>45753</v>
      </c>
      <c r="C421" s="9" t="s">
        <v>23</v>
      </c>
      <c r="D421" s="9" t="s">
        <v>24</v>
      </c>
      <c r="E421" s="9" t="s">
        <v>17</v>
      </c>
      <c r="F421" s="9" t="s">
        <v>51</v>
      </c>
      <c r="G421" s="9" t="s">
        <v>26</v>
      </c>
      <c r="H421" s="9" t="s">
        <v>27</v>
      </c>
      <c r="I421" s="9">
        <v>7</v>
      </c>
      <c r="J421" s="9">
        <v>6000</v>
      </c>
      <c r="K421" s="15">
        <v>10</v>
      </c>
      <c r="L421" s="16">
        <v>37800</v>
      </c>
      <c r="M421" s="16">
        <v>26458.6</v>
      </c>
      <c r="N421" s="9">
        <v>11341.4</v>
      </c>
      <c r="O421" s="9" t="s">
        <v>44</v>
      </c>
      <c r="P421" s="17">
        <v>45753</v>
      </c>
    </row>
    <row r="422" spans="1:16" ht="15.6" x14ac:dyDescent="0.3">
      <c r="A422" s="4" t="s">
        <v>476</v>
      </c>
      <c r="B422" s="5">
        <f t="shared" si="6"/>
        <v>45765</v>
      </c>
      <c r="C422" s="6" t="s">
        <v>40</v>
      </c>
      <c r="D422" s="6" t="s">
        <v>92</v>
      </c>
      <c r="E422" s="6" t="s">
        <v>35</v>
      </c>
      <c r="F422" s="6" t="s">
        <v>51</v>
      </c>
      <c r="G422" s="6" t="s">
        <v>19</v>
      </c>
      <c r="H422" s="6" t="s">
        <v>52</v>
      </c>
      <c r="I422" s="6">
        <v>6</v>
      </c>
      <c r="J422" s="6">
        <v>1500</v>
      </c>
      <c r="K422" s="12">
        <v>15</v>
      </c>
      <c r="L422" s="13">
        <v>7650</v>
      </c>
      <c r="M422" s="13">
        <v>5471.91</v>
      </c>
      <c r="N422" s="6">
        <v>2178.09</v>
      </c>
      <c r="O422" s="6" t="s">
        <v>44</v>
      </c>
      <c r="P422" s="14">
        <v>45765</v>
      </c>
    </row>
    <row r="423" spans="1:16" ht="15.6" x14ac:dyDescent="0.3">
      <c r="A423" s="7" t="s">
        <v>477</v>
      </c>
      <c r="B423" s="8">
        <f t="shared" si="6"/>
        <v>46000</v>
      </c>
      <c r="C423" s="9" t="s">
        <v>23</v>
      </c>
      <c r="D423" s="9" t="s">
        <v>58</v>
      </c>
      <c r="E423" s="9" t="s">
        <v>59</v>
      </c>
      <c r="F423" s="9" t="s">
        <v>51</v>
      </c>
      <c r="G423" s="9" t="s">
        <v>37</v>
      </c>
      <c r="H423" s="9" t="s">
        <v>56</v>
      </c>
      <c r="I423" s="9">
        <v>3</v>
      </c>
      <c r="J423" s="9">
        <v>2500</v>
      </c>
      <c r="K423" s="15">
        <v>15</v>
      </c>
      <c r="L423" s="16">
        <v>6375</v>
      </c>
      <c r="M423" s="16">
        <v>5214.95</v>
      </c>
      <c r="N423" s="9">
        <v>1160.05</v>
      </c>
      <c r="O423" s="9" t="s">
        <v>44</v>
      </c>
      <c r="P423" s="17">
        <v>46000</v>
      </c>
    </row>
    <row r="424" spans="1:16" ht="15.6" x14ac:dyDescent="0.3">
      <c r="A424" s="4" t="s">
        <v>478</v>
      </c>
      <c r="B424" s="5">
        <f t="shared" si="6"/>
        <v>45747</v>
      </c>
      <c r="C424" s="6" t="s">
        <v>30</v>
      </c>
      <c r="D424" s="6" t="s">
        <v>31</v>
      </c>
      <c r="E424" s="6" t="s">
        <v>32</v>
      </c>
      <c r="F424" s="6" t="s">
        <v>18</v>
      </c>
      <c r="G424" s="6" t="s">
        <v>26</v>
      </c>
      <c r="H424" s="6" t="s">
        <v>27</v>
      </c>
      <c r="I424" s="6">
        <v>4</v>
      </c>
      <c r="J424" s="6">
        <v>6000</v>
      </c>
      <c r="K424" s="12">
        <v>15</v>
      </c>
      <c r="L424" s="13">
        <v>20400</v>
      </c>
      <c r="M424" s="13">
        <v>13585.71</v>
      </c>
      <c r="N424" s="6">
        <v>6814.29</v>
      </c>
      <c r="O424" s="6" t="s">
        <v>28</v>
      </c>
      <c r="P424" s="14">
        <v>45747</v>
      </c>
    </row>
    <row r="425" spans="1:16" ht="15.6" x14ac:dyDescent="0.3">
      <c r="A425" s="7" t="s">
        <v>479</v>
      </c>
      <c r="B425" s="8">
        <f t="shared" si="6"/>
        <v>45862</v>
      </c>
      <c r="C425" s="9" t="s">
        <v>40</v>
      </c>
      <c r="D425" s="9" t="s">
        <v>92</v>
      </c>
      <c r="E425" s="9" t="s">
        <v>32</v>
      </c>
      <c r="F425" s="9" t="s">
        <v>36</v>
      </c>
      <c r="G425" s="9" t="s">
        <v>19</v>
      </c>
      <c r="H425" s="9" t="s">
        <v>52</v>
      </c>
      <c r="I425" s="9">
        <v>3</v>
      </c>
      <c r="J425" s="9">
        <v>1500</v>
      </c>
      <c r="K425" s="15">
        <v>15</v>
      </c>
      <c r="L425" s="16">
        <v>3825</v>
      </c>
      <c r="M425" s="16">
        <v>2930.06</v>
      </c>
      <c r="N425" s="9">
        <v>894.94</v>
      </c>
      <c r="O425" s="9" t="s">
        <v>28</v>
      </c>
      <c r="P425" s="17">
        <v>45862</v>
      </c>
    </row>
    <row r="426" spans="1:16" ht="15.6" x14ac:dyDescent="0.3">
      <c r="A426" s="4" t="s">
        <v>480</v>
      </c>
      <c r="B426" s="5">
        <f t="shared" si="6"/>
        <v>45663</v>
      </c>
      <c r="C426" s="6" t="s">
        <v>15</v>
      </c>
      <c r="D426" s="6" t="s">
        <v>55</v>
      </c>
      <c r="E426" s="6" t="s">
        <v>17</v>
      </c>
      <c r="F426" s="6" t="s">
        <v>62</v>
      </c>
      <c r="G426" s="6" t="s">
        <v>26</v>
      </c>
      <c r="H426" s="6" t="s">
        <v>70</v>
      </c>
      <c r="I426" s="6">
        <v>9</v>
      </c>
      <c r="J426" s="6">
        <v>10000</v>
      </c>
      <c r="K426" s="12">
        <v>15</v>
      </c>
      <c r="L426" s="13">
        <v>76500</v>
      </c>
      <c r="M426" s="13">
        <v>56240.639999999999</v>
      </c>
      <c r="N426" s="6">
        <v>20259.36</v>
      </c>
      <c r="O426" s="6" t="s">
        <v>33</v>
      </c>
      <c r="P426" s="14">
        <v>45663</v>
      </c>
    </row>
    <row r="427" spans="1:16" ht="15.6" x14ac:dyDescent="0.3">
      <c r="A427" s="7" t="s">
        <v>481</v>
      </c>
      <c r="B427" s="8">
        <f t="shared" si="6"/>
        <v>45774</v>
      </c>
      <c r="C427" s="9" t="s">
        <v>30</v>
      </c>
      <c r="D427" s="9" t="s">
        <v>31</v>
      </c>
      <c r="E427" s="9" t="s">
        <v>59</v>
      </c>
      <c r="F427" s="9" t="s">
        <v>62</v>
      </c>
      <c r="G427" s="9" t="s">
        <v>19</v>
      </c>
      <c r="H427" s="9" t="s">
        <v>52</v>
      </c>
      <c r="I427" s="9">
        <v>6</v>
      </c>
      <c r="J427" s="9">
        <v>1500</v>
      </c>
      <c r="K427" s="15">
        <v>10</v>
      </c>
      <c r="L427" s="16">
        <v>8100</v>
      </c>
      <c r="M427" s="16">
        <v>5946.24</v>
      </c>
      <c r="N427" s="9">
        <v>2153.7600000000002</v>
      </c>
      <c r="O427" s="9" t="s">
        <v>28</v>
      </c>
      <c r="P427" s="17">
        <v>45774</v>
      </c>
    </row>
    <row r="428" spans="1:16" ht="15.6" x14ac:dyDescent="0.3">
      <c r="A428" s="4" t="s">
        <v>482</v>
      </c>
      <c r="B428" s="5">
        <f t="shared" si="6"/>
        <v>45721</v>
      </c>
      <c r="C428" s="6" t="s">
        <v>40</v>
      </c>
      <c r="D428" s="6" t="s">
        <v>61</v>
      </c>
      <c r="E428" s="6" t="s">
        <v>17</v>
      </c>
      <c r="F428" s="6" t="s">
        <v>51</v>
      </c>
      <c r="G428" s="6" t="s">
        <v>37</v>
      </c>
      <c r="H428" s="6" t="s">
        <v>38</v>
      </c>
      <c r="I428" s="6">
        <v>4</v>
      </c>
      <c r="J428" s="6">
        <v>900</v>
      </c>
      <c r="K428" s="12">
        <v>0</v>
      </c>
      <c r="L428" s="13">
        <v>3600</v>
      </c>
      <c r="M428" s="13">
        <v>3140.77</v>
      </c>
      <c r="N428" s="6">
        <v>459.23</v>
      </c>
      <c r="O428" s="6" t="s">
        <v>33</v>
      </c>
      <c r="P428" s="14">
        <v>45721</v>
      </c>
    </row>
    <row r="429" spans="1:16" ht="15.6" x14ac:dyDescent="0.3">
      <c r="A429" s="7" t="s">
        <v>483</v>
      </c>
      <c r="B429" s="8">
        <f t="shared" si="6"/>
        <v>45901</v>
      </c>
      <c r="C429" s="9" t="s">
        <v>23</v>
      </c>
      <c r="D429" s="9" t="s">
        <v>90</v>
      </c>
      <c r="E429" s="9" t="s">
        <v>32</v>
      </c>
      <c r="F429" s="9" t="s">
        <v>65</v>
      </c>
      <c r="G429" s="9" t="s">
        <v>37</v>
      </c>
      <c r="H429" s="9" t="s">
        <v>72</v>
      </c>
      <c r="I429" s="9">
        <v>9</v>
      </c>
      <c r="J429" s="9">
        <v>800</v>
      </c>
      <c r="K429" s="15">
        <v>5</v>
      </c>
      <c r="L429" s="16">
        <v>6840</v>
      </c>
      <c r="M429" s="16">
        <v>5219.4399999999996</v>
      </c>
      <c r="N429" s="9">
        <v>1620.56</v>
      </c>
      <c r="O429" s="9" t="s">
        <v>28</v>
      </c>
      <c r="P429" s="17">
        <v>45901</v>
      </c>
    </row>
    <row r="430" spans="1:16" ht="15.6" x14ac:dyDescent="0.3">
      <c r="A430" s="4" t="s">
        <v>484</v>
      </c>
      <c r="B430" s="5">
        <f t="shared" si="6"/>
        <v>45995</v>
      </c>
      <c r="C430" s="6" t="s">
        <v>40</v>
      </c>
      <c r="D430" s="6" t="s">
        <v>61</v>
      </c>
      <c r="E430" s="6" t="s">
        <v>25</v>
      </c>
      <c r="F430" s="6" t="s">
        <v>51</v>
      </c>
      <c r="G430" s="6" t="s">
        <v>26</v>
      </c>
      <c r="H430" s="6" t="s">
        <v>70</v>
      </c>
      <c r="I430" s="6">
        <v>1</v>
      </c>
      <c r="J430" s="6">
        <v>10000</v>
      </c>
      <c r="K430" s="12">
        <v>10</v>
      </c>
      <c r="L430" s="13">
        <v>9000</v>
      </c>
      <c r="M430" s="13">
        <v>7533.05</v>
      </c>
      <c r="N430" s="6">
        <v>1466.95</v>
      </c>
      <c r="O430" s="6" t="s">
        <v>28</v>
      </c>
      <c r="P430" s="14">
        <v>45995</v>
      </c>
    </row>
    <row r="431" spans="1:16" ht="15.6" x14ac:dyDescent="0.3">
      <c r="A431" s="7" t="s">
        <v>485</v>
      </c>
      <c r="B431" s="8">
        <f t="shared" si="6"/>
        <v>45901</v>
      </c>
      <c r="C431" s="9" t="s">
        <v>23</v>
      </c>
      <c r="D431" s="9" t="s">
        <v>90</v>
      </c>
      <c r="E431" s="9" t="s">
        <v>35</v>
      </c>
      <c r="F431" s="9" t="s">
        <v>62</v>
      </c>
      <c r="G431" s="9" t="s">
        <v>26</v>
      </c>
      <c r="H431" s="9" t="s">
        <v>27</v>
      </c>
      <c r="I431" s="9">
        <v>7</v>
      </c>
      <c r="J431" s="9">
        <v>6000</v>
      </c>
      <c r="K431" s="15">
        <v>0</v>
      </c>
      <c r="L431" s="16">
        <v>42000</v>
      </c>
      <c r="M431" s="16">
        <v>30887.37</v>
      </c>
      <c r="N431" s="9">
        <v>11112.63</v>
      </c>
      <c r="O431" s="9" t="s">
        <v>44</v>
      </c>
      <c r="P431" s="17">
        <v>45901</v>
      </c>
    </row>
    <row r="432" spans="1:16" ht="15.6" x14ac:dyDescent="0.3">
      <c r="A432" s="4" t="s">
        <v>486</v>
      </c>
      <c r="B432" s="5">
        <f t="shared" si="6"/>
        <v>45794</v>
      </c>
      <c r="C432" s="6" t="s">
        <v>40</v>
      </c>
      <c r="D432" s="6" t="s">
        <v>41</v>
      </c>
      <c r="E432" s="6" t="s">
        <v>32</v>
      </c>
      <c r="F432" s="6" t="s">
        <v>42</v>
      </c>
      <c r="G432" s="6" t="s">
        <v>19</v>
      </c>
      <c r="H432" s="6" t="s">
        <v>52</v>
      </c>
      <c r="I432" s="6">
        <v>3</v>
      </c>
      <c r="J432" s="6">
        <v>1500</v>
      </c>
      <c r="K432" s="12">
        <v>10</v>
      </c>
      <c r="L432" s="13">
        <v>4050</v>
      </c>
      <c r="M432" s="13">
        <v>3120.25</v>
      </c>
      <c r="N432" s="6">
        <v>929.75</v>
      </c>
      <c r="O432" s="6" t="s">
        <v>33</v>
      </c>
      <c r="P432" s="14">
        <v>45794</v>
      </c>
    </row>
    <row r="433" spans="1:16" ht="15.6" x14ac:dyDescent="0.3">
      <c r="A433" s="7" t="s">
        <v>487</v>
      </c>
      <c r="B433" s="8">
        <f t="shared" si="6"/>
        <v>45805</v>
      </c>
      <c r="C433" s="9" t="s">
        <v>23</v>
      </c>
      <c r="D433" s="9" t="s">
        <v>24</v>
      </c>
      <c r="E433" s="9" t="s">
        <v>35</v>
      </c>
      <c r="F433" s="9" t="s">
        <v>36</v>
      </c>
      <c r="G433" s="9" t="s">
        <v>37</v>
      </c>
      <c r="H433" s="9" t="s">
        <v>56</v>
      </c>
      <c r="I433" s="9">
        <v>4</v>
      </c>
      <c r="J433" s="9">
        <v>2500</v>
      </c>
      <c r="K433" s="15">
        <v>0</v>
      </c>
      <c r="L433" s="16">
        <v>10000</v>
      </c>
      <c r="M433" s="16">
        <v>7176.76</v>
      </c>
      <c r="N433" s="9">
        <v>2823.24</v>
      </c>
      <c r="O433" s="9" t="s">
        <v>33</v>
      </c>
      <c r="P433" s="17">
        <v>45805</v>
      </c>
    </row>
    <row r="434" spans="1:16" ht="15.6" x14ac:dyDescent="0.3">
      <c r="A434" s="4" t="s">
        <v>488</v>
      </c>
      <c r="B434" s="5">
        <f t="shared" si="6"/>
        <v>45693</v>
      </c>
      <c r="C434" s="6" t="s">
        <v>40</v>
      </c>
      <c r="D434" s="6" t="s">
        <v>41</v>
      </c>
      <c r="E434" s="6" t="s">
        <v>25</v>
      </c>
      <c r="F434" s="6" t="s">
        <v>51</v>
      </c>
      <c r="G434" s="6" t="s">
        <v>37</v>
      </c>
      <c r="H434" s="6" t="s">
        <v>38</v>
      </c>
      <c r="I434" s="6">
        <v>5</v>
      </c>
      <c r="J434" s="6">
        <v>900</v>
      </c>
      <c r="K434" s="12">
        <v>0</v>
      </c>
      <c r="L434" s="13">
        <v>4500</v>
      </c>
      <c r="M434" s="13">
        <v>4003.31</v>
      </c>
      <c r="N434" s="6">
        <v>496.69</v>
      </c>
      <c r="O434" s="6" t="s">
        <v>28</v>
      </c>
      <c r="P434" s="14">
        <v>45693</v>
      </c>
    </row>
    <row r="435" spans="1:16" ht="15.6" x14ac:dyDescent="0.3">
      <c r="A435" s="7" t="s">
        <v>489</v>
      </c>
      <c r="B435" s="8">
        <f t="shared" si="6"/>
        <v>45825</v>
      </c>
      <c r="C435" s="9" t="s">
        <v>30</v>
      </c>
      <c r="D435" s="9" t="s">
        <v>31</v>
      </c>
      <c r="E435" s="9" t="s">
        <v>35</v>
      </c>
      <c r="F435" s="9" t="s">
        <v>42</v>
      </c>
      <c r="G435" s="9" t="s">
        <v>19</v>
      </c>
      <c r="H435" s="9" t="s">
        <v>20</v>
      </c>
      <c r="I435" s="9">
        <v>2</v>
      </c>
      <c r="J435" s="9">
        <v>12000</v>
      </c>
      <c r="K435" s="15">
        <v>10</v>
      </c>
      <c r="L435" s="16">
        <v>21600</v>
      </c>
      <c r="M435" s="16">
        <v>16100.13</v>
      </c>
      <c r="N435" s="9">
        <v>5499.87</v>
      </c>
      <c r="O435" s="9" t="s">
        <v>33</v>
      </c>
      <c r="P435" s="17">
        <v>45825</v>
      </c>
    </row>
    <row r="436" spans="1:16" ht="15.6" x14ac:dyDescent="0.3">
      <c r="A436" s="4" t="s">
        <v>490</v>
      </c>
      <c r="B436" s="5">
        <f t="shared" si="6"/>
        <v>45770</v>
      </c>
      <c r="C436" s="6" t="s">
        <v>15</v>
      </c>
      <c r="D436" s="6" t="s">
        <v>16</v>
      </c>
      <c r="E436" s="6" t="s">
        <v>35</v>
      </c>
      <c r="F436" s="6" t="s">
        <v>62</v>
      </c>
      <c r="G436" s="6" t="s">
        <v>19</v>
      </c>
      <c r="H436" s="6" t="s">
        <v>20</v>
      </c>
      <c r="I436" s="6">
        <v>4</v>
      </c>
      <c r="J436" s="6">
        <v>12000</v>
      </c>
      <c r="K436" s="12">
        <v>5</v>
      </c>
      <c r="L436" s="13">
        <v>45600</v>
      </c>
      <c r="M436" s="13">
        <v>37429.06</v>
      </c>
      <c r="N436" s="6">
        <v>8170.94</v>
      </c>
      <c r="O436" s="6" t="s">
        <v>28</v>
      </c>
      <c r="P436" s="14">
        <v>45770</v>
      </c>
    </row>
    <row r="437" spans="1:16" ht="15.6" x14ac:dyDescent="0.3">
      <c r="A437" s="7" t="s">
        <v>491</v>
      </c>
      <c r="B437" s="8">
        <f t="shared" si="6"/>
        <v>45805</v>
      </c>
      <c r="C437" s="9" t="s">
        <v>23</v>
      </c>
      <c r="D437" s="9" t="s">
        <v>90</v>
      </c>
      <c r="E437" s="9" t="s">
        <v>35</v>
      </c>
      <c r="F437" s="9" t="s">
        <v>18</v>
      </c>
      <c r="G437" s="9" t="s">
        <v>26</v>
      </c>
      <c r="H437" s="9" t="s">
        <v>70</v>
      </c>
      <c r="I437" s="9">
        <v>6</v>
      </c>
      <c r="J437" s="9">
        <v>10000</v>
      </c>
      <c r="K437" s="15">
        <v>15</v>
      </c>
      <c r="L437" s="16">
        <v>51000</v>
      </c>
      <c r="M437" s="16">
        <v>36719.339999999997</v>
      </c>
      <c r="N437" s="9">
        <v>14280.66</v>
      </c>
      <c r="O437" s="9" t="s">
        <v>33</v>
      </c>
      <c r="P437" s="17">
        <v>45805</v>
      </c>
    </row>
    <row r="438" spans="1:16" ht="15.6" x14ac:dyDescent="0.3">
      <c r="A438" s="4" t="s">
        <v>492</v>
      </c>
      <c r="B438" s="5">
        <f t="shared" si="6"/>
        <v>45813</v>
      </c>
      <c r="C438" s="6" t="s">
        <v>23</v>
      </c>
      <c r="D438" s="6" t="s">
        <v>58</v>
      </c>
      <c r="E438" s="6" t="s">
        <v>32</v>
      </c>
      <c r="F438" s="6" t="s">
        <v>51</v>
      </c>
      <c r="G438" s="6" t="s">
        <v>19</v>
      </c>
      <c r="H438" s="6" t="s">
        <v>43</v>
      </c>
      <c r="I438" s="6">
        <v>6</v>
      </c>
      <c r="J438" s="6">
        <v>55000</v>
      </c>
      <c r="K438" s="12">
        <v>0</v>
      </c>
      <c r="L438" s="13">
        <v>330000</v>
      </c>
      <c r="M438" s="13">
        <v>275808.84999999998</v>
      </c>
      <c r="N438" s="6">
        <v>54191.15</v>
      </c>
      <c r="O438" s="6" t="s">
        <v>44</v>
      </c>
      <c r="P438" s="14">
        <v>45813</v>
      </c>
    </row>
    <row r="439" spans="1:16" ht="15.6" x14ac:dyDescent="0.3">
      <c r="A439" s="7" t="s">
        <v>493</v>
      </c>
      <c r="B439" s="8">
        <f t="shared" si="6"/>
        <v>45829</v>
      </c>
      <c r="C439" s="9" t="s">
        <v>15</v>
      </c>
      <c r="D439" s="9" t="s">
        <v>16</v>
      </c>
      <c r="E439" s="9" t="s">
        <v>35</v>
      </c>
      <c r="F439" s="9" t="s">
        <v>62</v>
      </c>
      <c r="G439" s="9" t="s">
        <v>19</v>
      </c>
      <c r="H439" s="9" t="s">
        <v>20</v>
      </c>
      <c r="I439" s="9">
        <v>2</v>
      </c>
      <c r="J439" s="9">
        <v>12000</v>
      </c>
      <c r="K439" s="15">
        <v>10</v>
      </c>
      <c r="L439" s="16">
        <v>21600</v>
      </c>
      <c r="M439" s="16">
        <v>16320.23</v>
      </c>
      <c r="N439" s="9">
        <v>5279.77</v>
      </c>
      <c r="O439" s="9" t="s">
        <v>44</v>
      </c>
      <c r="P439" s="17">
        <v>45829</v>
      </c>
    </row>
    <row r="440" spans="1:16" ht="15.6" x14ac:dyDescent="0.3">
      <c r="A440" s="4" t="s">
        <v>494</v>
      </c>
      <c r="B440" s="5">
        <f t="shared" si="6"/>
        <v>45795</v>
      </c>
      <c r="C440" s="6" t="s">
        <v>40</v>
      </c>
      <c r="D440" s="6" t="s">
        <v>41</v>
      </c>
      <c r="E440" s="6" t="s">
        <v>48</v>
      </c>
      <c r="F440" s="6" t="s">
        <v>65</v>
      </c>
      <c r="G440" s="6" t="s">
        <v>26</v>
      </c>
      <c r="H440" s="6" t="s">
        <v>27</v>
      </c>
      <c r="I440" s="6">
        <v>6</v>
      </c>
      <c r="J440" s="6">
        <v>6000</v>
      </c>
      <c r="K440" s="12">
        <v>5</v>
      </c>
      <c r="L440" s="13">
        <v>34200</v>
      </c>
      <c r="M440" s="13">
        <v>22713.01</v>
      </c>
      <c r="N440" s="6">
        <v>11486.99</v>
      </c>
      <c r="O440" s="6" t="s">
        <v>21</v>
      </c>
      <c r="P440" s="14">
        <v>45795</v>
      </c>
    </row>
    <row r="441" spans="1:16" ht="15.6" x14ac:dyDescent="0.3">
      <c r="A441" s="7" t="s">
        <v>495</v>
      </c>
      <c r="B441" s="8">
        <f t="shared" si="6"/>
        <v>45682</v>
      </c>
      <c r="C441" s="9" t="s">
        <v>15</v>
      </c>
      <c r="D441" s="9" t="s">
        <v>55</v>
      </c>
      <c r="E441" s="9" t="s">
        <v>32</v>
      </c>
      <c r="F441" s="9" t="s">
        <v>51</v>
      </c>
      <c r="G441" s="9" t="s">
        <v>26</v>
      </c>
      <c r="H441" s="9" t="s">
        <v>70</v>
      </c>
      <c r="I441" s="9">
        <v>5</v>
      </c>
      <c r="J441" s="9">
        <v>10000</v>
      </c>
      <c r="K441" s="15">
        <v>0</v>
      </c>
      <c r="L441" s="16">
        <v>50000</v>
      </c>
      <c r="M441" s="16">
        <v>41572.86</v>
      </c>
      <c r="N441" s="9">
        <v>8427.14</v>
      </c>
      <c r="O441" s="9" t="s">
        <v>28</v>
      </c>
      <c r="P441" s="17">
        <v>45682</v>
      </c>
    </row>
    <row r="442" spans="1:16" ht="15.6" x14ac:dyDescent="0.3">
      <c r="A442" s="4" t="s">
        <v>496</v>
      </c>
      <c r="B442" s="5">
        <f t="shared" si="6"/>
        <v>45686</v>
      </c>
      <c r="C442" s="6" t="s">
        <v>30</v>
      </c>
      <c r="D442" s="6" t="s">
        <v>31</v>
      </c>
      <c r="E442" s="6" t="s">
        <v>35</v>
      </c>
      <c r="F442" s="6" t="s">
        <v>62</v>
      </c>
      <c r="G442" s="6" t="s">
        <v>37</v>
      </c>
      <c r="H442" s="6" t="s">
        <v>72</v>
      </c>
      <c r="I442" s="6">
        <v>3</v>
      </c>
      <c r="J442" s="6">
        <v>800</v>
      </c>
      <c r="K442" s="12">
        <v>10</v>
      </c>
      <c r="L442" s="13">
        <v>2160</v>
      </c>
      <c r="M442" s="13">
        <v>1469.94</v>
      </c>
      <c r="N442" s="6">
        <v>690.06</v>
      </c>
      <c r="O442" s="6" t="s">
        <v>44</v>
      </c>
      <c r="P442" s="14">
        <v>45686</v>
      </c>
    </row>
    <row r="443" spans="1:16" ht="15.6" x14ac:dyDescent="0.3">
      <c r="A443" s="7" t="s">
        <v>497</v>
      </c>
      <c r="B443" s="8">
        <f t="shared" si="6"/>
        <v>46015</v>
      </c>
      <c r="C443" s="9" t="s">
        <v>30</v>
      </c>
      <c r="D443" s="9" t="s">
        <v>31</v>
      </c>
      <c r="E443" s="9" t="s">
        <v>48</v>
      </c>
      <c r="F443" s="9" t="s">
        <v>42</v>
      </c>
      <c r="G443" s="9" t="s">
        <v>26</v>
      </c>
      <c r="H443" s="9" t="s">
        <v>70</v>
      </c>
      <c r="I443" s="9">
        <v>2</v>
      </c>
      <c r="J443" s="9">
        <v>10000</v>
      </c>
      <c r="K443" s="15">
        <v>15</v>
      </c>
      <c r="L443" s="16">
        <v>17000</v>
      </c>
      <c r="M443" s="16">
        <v>14242.98</v>
      </c>
      <c r="N443" s="9">
        <v>2757.02</v>
      </c>
      <c r="O443" s="9" t="s">
        <v>33</v>
      </c>
      <c r="P443" s="17" t="s">
        <v>160</v>
      </c>
    </row>
    <row r="444" spans="1:16" ht="15.6" x14ac:dyDescent="0.3">
      <c r="A444" s="4" t="s">
        <v>498</v>
      </c>
      <c r="B444" s="5">
        <f t="shared" si="6"/>
        <v>45923</v>
      </c>
      <c r="C444" s="6" t="s">
        <v>15</v>
      </c>
      <c r="D444" s="6" t="s">
        <v>55</v>
      </c>
      <c r="E444" s="6" t="s">
        <v>17</v>
      </c>
      <c r="F444" s="6" t="s">
        <v>36</v>
      </c>
      <c r="G444" s="6" t="s">
        <v>26</v>
      </c>
      <c r="H444" s="6" t="s">
        <v>27</v>
      </c>
      <c r="I444" s="6">
        <v>9</v>
      </c>
      <c r="J444" s="6">
        <v>6000</v>
      </c>
      <c r="K444" s="12">
        <v>5</v>
      </c>
      <c r="L444" s="13">
        <v>51300</v>
      </c>
      <c r="M444" s="13">
        <v>38734.39</v>
      </c>
      <c r="N444" s="6">
        <v>12565.61</v>
      </c>
      <c r="O444" s="6" t="s">
        <v>21</v>
      </c>
      <c r="P444" s="14">
        <v>45923</v>
      </c>
    </row>
    <row r="445" spans="1:16" ht="15.6" x14ac:dyDescent="0.3">
      <c r="A445" s="7" t="s">
        <v>499</v>
      </c>
      <c r="B445" s="8">
        <f t="shared" si="6"/>
        <v>45715</v>
      </c>
      <c r="C445" s="9" t="s">
        <v>15</v>
      </c>
      <c r="D445" s="9" t="s">
        <v>16</v>
      </c>
      <c r="E445" s="9" t="s">
        <v>59</v>
      </c>
      <c r="F445" s="9" t="s">
        <v>65</v>
      </c>
      <c r="G445" s="9" t="s">
        <v>19</v>
      </c>
      <c r="H445" s="9" t="s">
        <v>52</v>
      </c>
      <c r="I445" s="9">
        <v>10</v>
      </c>
      <c r="J445" s="9">
        <v>1500</v>
      </c>
      <c r="K445" s="15">
        <v>10</v>
      </c>
      <c r="L445" s="16">
        <v>13500</v>
      </c>
      <c r="M445" s="16">
        <v>9749.58</v>
      </c>
      <c r="N445" s="9">
        <v>3750.42</v>
      </c>
      <c r="O445" s="9" t="s">
        <v>44</v>
      </c>
      <c r="P445" s="17">
        <v>45715</v>
      </c>
    </row>
    <row r="446" spans="1:16" ht="15.6" x14ac:dyDescent="0.3">
      <c r="A446" s="4" t="s">
        <v>500</v>
      </c>
      <c r="B446" s="5">
        <f t="shared" si="6"/>
        <v>45989</v>
      </c>
      <c r="C446" s="6" t="s">
        <v>23</v>
      </c>
      <c r="D446" s="6" t="s">
        <v>58</v>
      </c>
      <c r="E446" s="6" t="s">
        <v>17</v>
      </c>
      <c r="F446" s="6" t="s">
        <v>36</v>
      </c>
      <c r="G446" s="6" t="s">
        <v>26</v>
      </c>
      <c r="H446" s="6" t="s">
        <v>27</v>
      </c>
      <c r="I446" s="6">
        <v>3</v>
      </c>
      <c r="J446" s="6">
        <v>6000</v>
      </c>
      <c r="K446" s="12">
        <v>0</v>
      </c>
      <c r="L446" s="13">
        <v>18000</v>
      </c>
      <c r="M446" s="13">
        <v>12235.53</v>
      </c>
      <c r="N446" s="6">
        <v>5764.47</v>
      </c>
      <c r="O446" s="6" t="s">
        <v>33</v>
      </c>
      <c r="P446" s="14">
        <v>45989</v>
      </c>
    </row>
    <row r="447" spans="1:16" ht="15.6" x14ac:dyDescent="0.3">
      <c r="A447" s="7" t="s">
        <v>501</v>
      </c>
      <c r="B447" s="8">
        <f t="shared" si="6"/>
        <v>46004</v>
      </c>
      <c r="C447" s="9" t="s">
        <v>30</v>
      </c>
      <c r="D447" s="9" t="s">
        <v>31</v>
      </c>
      <c r="E447" s="9" t="s">
        <v>32</v>
      </c>
      <c r="F447" s="9" t="s">
        <v>36</v>
      </c>
      <c r="G447" s="9" t="s">
        <v>26</v>
      </c>
      <c r="H447" s="9" t="s">
        <v>70</v>
      </c>
      <c r="I447" s="9">
        <v>3</v>
      </c>
      <c r="J447" s="9">
        <v>10000</v>
      </c>
      <c r="K447" s="15">
        <v>0</v>
      </c>
      <c r="L447" s="16">
        <v>30000</v>
      </c>
      <c r="M447" s="16">
        <v>21949.96</v>
      </c>
      <c r="N447" s="9">
        <v>8050.04</v>
      </c>
      <c r="O447" s="9" t="s">
        <v>21</v>
      </c>
      <c r="P447" s="17">
        <v>46004</v>
      </c>
    </row>
    <row r="448" spans="1:16" ht="15.6" x14ac:dyDescent="0.3">
      <c r="A448" s="4" t="s">
        <v>502</v>
      </c>
      <c r="B448" s="5">
        <f t="shared" si="6"/>
        <v>45945</v>
      </c>
      <c r="C448" s="6" t="s">
        <v>40</v>
      </c>
      <c r="D448" s="6" t="s">
        <v>61</v>
      </c>
      <c r="E448" s="6" t="s">
        <v>17</v>
      </c>
      <c r="F448" s="6" t="s">
        <v>36</v>
      </c>
      <c r="G448" s="6" t="s">
        <v>26</v>
      </c>
      <c r="H448" s="6" t="s">
        <v>70</v>
      </c>
      <c r="I448" s="6">
        <v>6</v>
      </c>
      <c r="J448" s="6">
        <v>10000</v>
      </c>
      <c r="K448" s="12">
        <v>5</v>
      </c>
      <c r="L448" s="13">
        <v>57000</v>
      </c>
      <c r="M448" s="13">
        <v>38938.53</v>
      </c>
      <c r="N448" s="6">
        <v>18061.47</v>
      </c>
      <c r="O448" s="6" t="s">
        <v>28</v>
      </c>
      <c r="P448" s="14">
        <v>45945</v>
      </c>
    </row>
    <row r="449" spans="1:16" ht="15.6" x14ac:dyDescent="0.3">
      <c r="A449" s="7" t="s">
        <v>503</v>
      </c>
      <c r="B449" s="8">
        <f t="shared" si="6"/>
        <v>45893</v>
      </c>
      <c r="C449" s="9" t="s">
        <v>23</v>
      </c>
      <c r="D449" s="9" t="s">
        <v>90</v>
      </c>
      <c r="E449" s="9" t="s">
        <v>35</v>
      </c>
      <c r="F449" s="9" t="s">
        <v>42</v>
      </c>
      <c r="G449" s="9" t="s">
        <v>26</v>
      </c>
      <c r="H449" s="9" t="s">
        <v>27</v>
      </c>
      <c r="I449" s="9">
        <v>4</v>
      </c>
      <c r="J449" s="9">
        <v>6000</v>
      </c>
      <c r="K449" s="15">
        <v>0</v>
      </c>
      <c r="L449" s="16">
        <v>24000</v>
      </c>
      <c r="M449" s="16">
        <v>20229.5</v>
      </c>
      <c r="N449" s="9">
        <v>3770.5</v>
      </c>
      <c r="O449" s="9" t="s">
        <v>33</v>
      </c>
      <c r="P449" s="17">
        <v>45893</v>
      </c>
    </row>
    <row r="450" spans="1:16" ht="15.6" x14ac:dyDescent="0.3">
      <c r="A450" s="4" t="s">
        <v>504</v>
      </c>
      <c r="B450" s="5">
        <f t="shared" ref="B450:B501" si="7">DATE(YEAR(P450),MONTH(P450),DAY(P450))</f>
        <v>45732</v>
      </c>
      <c r="C450" s="6" t="s">
        <v>15</v>
      </c>
      <c r="D450" s="6" t="s">
        <v>55</v>
      </c>
      <c r="E450" s="6" t="s">
        <v>25</v>
      </c>
      <c r="F450" s="6" t="s">
        <v>65</v>
      </c>
      <c r="G450" s="6" t="s">
        <v>26</v>
      </c>
      <c r="H450" s="6" t="s">
        <v>70</v>
      </c>
      <c r="I450" s="6">
        <v>8</v>
      </c>
      <c r="J450" s="6">
        <v>10000</v>
      </c>
      <c r="K450" s="12">
        <v>10</v>
      </c>
      <c r="L450" s="13">
        <v>72000</v>
      </c>
      <c r="M450" s="13">
        <v>63905.49</v>
      </c>
      <c r="N450" s="6">
        <v>8094.51</v>
      </c>
      <c r="O450" s="6" t="s">
        <v>28</v>
      </c>
      <c r="P450" s="14">
        <v>45732</v>
      </c>
    </row>
    <row r="451" spans="1:16" ht="15.6" x14ac:dyDescent="0.3">
      <c r="A451" s="7" t="s">
        <v>505</v>
      </c>
      <c r="B451" s="8">
        <f t="shared" si="7"/>
        <v>45912</v>
      </c>
      <c r="C451" s="9" t="s">
        <v>30</v>
      </c>
      <c r="D451" s="9" t="s">
        <v>31</v>
      </c>
      <c r="E451" s="9" t="s">
        <v>48</v>
      </c>
      <c r="F451" s="9" t="s">
        <v>36</v>
      </c>
      <c r="G451" s="9" t="s">
        <v>37</v>
      </c>
      <c r="H451" s="9" t="s">
        <v>38</v>
      </c>
      <c r="I451" s="9">
        <v>1</v>
      </c>
      <c r="J451" s="9">
        <v>900</v>
      </c>
      <c r="K451" s="15">
        <v>10</v>
      </c>
      <c r="L451" s="16">
        <v>810</v>
      </c>
      <c r="M451" s="16">
        <v>528.1</v>
      </c>
      <c r="N451" s="9">
        <v>281.89999999999998</v>
      </c>
      <c r="O451" s="9" t="s">
        <v>33</v>
      </c>
      <c r="P451" s="17">
        <v>45912</v>
      </c>
    </row>
    <row r="452" spans="1:16" ht="15.6" x14ac:dyDescent="0.3">
      <c r="A452" s="4" t="s">
        <v>506</v>
      </c>
      <c r="B452" s="5">
        <f t="shared" si="7"/>
        <v>45756</v>
      </c>
      <c r="C452" s="6" t="s">
        <v>30</v>
      </c>
      <c r="D452" s="6" t="s">
        <v>50</v>
      </c>
      <c r="E452" s="6" t="s">
        <v>59</v>
      </c>
      <c r="F452" s="6" t="s">
        <v>51</v>
      </c>
      <c r="G452" s="6" t="s">
        <v>26</v>
      </c>
      <c r="H452" s="6" t="s">
        <v>70</v>
      </c>
      <c r="I452" s="6">
        <v>9</v>
      </c>
      <c r="J452" s="6">
        <v>10000</v>
      </c>
      <c r="K452" s="12">
        <v>10</v>
      </c>
      <c r="L452" s="13">
        <v>81000</v>
      </c>
      <c r="M452" s="13">
        <v>72778.97</v>
      </c>
      <c r="N452" s="6">
        <v>8221.0300000000007</v>
      </c>
      <c r="O452" s="6" t="s">
        <v>21</v>
      </c>
      <c r="P452" s="14">
        <v>45756</v>
      </c>
    </row>
    <row r="453" spans="1:16" ht="15.6" x14ac:dyDescent="0.3">
      <c r="A453" s="7" t="s">
        <v>507</v>
      </c>
      <c r="B453" s="8">
        <f t="shared" si="7"/>
        <v>45897</v>
      </c>
      <c r="C453" s="9" t="s">
        <v>15</v>
      </c>
      <c r="D453" s="9" t="s">
        <v>55</v>
      </c>
      <c r="E453" s="9" t="s">
        <v>48</v>
      </c>
      <c r="F453" s="9" t="s">
        <v>42</v>
      </c>
      <c r="G453" s="9" t="s">
        <v>19</v>
      </c>
      <c r="H453" s="9" t="s">
        <v>52</v>
      </c>
      <c r="I453" s="9">
        <v>2</v>
      </c>
      <c r="J453" s="9">
        <v>1500</v>
      </c>
      <c r="K453" s="15">
        <v>0</v>
      </c>
      <c r="L453" s="16">
        <v>3000</v>
      </c>
      <c r="M453" s="16">
        <v>2269.58</v>
      </c>
      <c r="N453" s="9">
        <v>730.42</v>
      </c>
      <c r="O453" s="9" t="s">
        <v>21</v>
      </c>
      <c r="P453" s="17">
        <v>45897</v>
      </c>
    </row>
    <row r="454" spans="1:16" ht="15.6" x14ac:dyDescent="0.3">
      <c r="A454" s="4" t="s">
        <v>508</v>
      </c>
      <c r="B454" s="5">
        <f t="shared" si="7"/>
        <v>45981</v>
      </c>
      <c r="C454" s="6" t="s">
        <v>40</v>
      </c>
      <c r="D454" s="6" t="s">
        <v>41</v>
      </c>
      <c r="E454" s="6" t="s">
        <v>48</v>
      </c>
      <c r="F454" s="6" t="s">
        <v>18</v>
      </c>
      <c r="G454" s="6" t="s">
        <v>26</v>
      </c>
      <c r="H454" s="6" t="s">
        <v>27</v>
      </c>
      <c r="I454" s="6">
        <v>3</v>
      </c>
      <c r="J454" s="6">
        <v>6000</v>
      </c>
      <c r="K454" s="12">
        <v>15</v>
      </c>
      <c r="L454" s="13">
        <v>15300</v>
      </c>
      <c r="M454" s="13">
        <v>10825.73</v>
      </c>
      <c r="N454" s="6">
        <v>4474.2700000000004</v>
      </c>
      <c r="O454" s="6" t="s">
        <v>28</v>
      </c>
      <c r="P454" s="14">
        <v>45981</v>
      </c>
    </row>
    <row r="455" spans="1:16" ht="15.6" x14ac:dyDescent="0.3">
      <c r="A455" s="7" t="s">
        <v>509</v>
      </c>
      <c r="B455" s="8">
        <f t="shared" si="7"/>
        <v>45782</v>
      </c>
      <c r="C455" s="9" t="s">
        <v>40</v>
      </c>
      <c r="D455" s="9" t="s">
        <v>41</v>
      </c>
      <c r="E455" s="9" t="s">
        <v>25</v>
      </c>
      <c r="F455" s="9" t="s">
        <v>62</v>
      </c>
      <c r="G455" s="9" t="s">
        <v>26</v>
      </c>
      <c r="H455" s="9" t="s">
        <v>70</v>
      </c>
      <c r="I455" s="9">
        <v>3</v>
      </c>
      <c r="J455" s="9">
        <v>10000</v>
      </c>
      <c r="K455" s="15">
        <v>10</v>
      </c>
      <c r="L455" s="16">
        <v>27000</v>
      </c>
      <c r="M455" s="16">
        <v>17807.8</v>
      </c>
      <c r="N455" s="9">
        <v>9192.2000000000007</v>
      </c>
      <c r="O455" s="9" t="s">
        <v>28</v>
      </c>
      <c r="P455" s="17">
        <v>45782</v>
      </c>
    </row>
    <row r="456" spans="1:16" ht="15.6" x14ac:dyDescent="0.3">
      <c r="A456" s="4" t="s">
        <v>510</v>
      </c>
      <c r="B456" s="5">
        <f t="shared" si="7"/>
        <v>45976</v>
      </c>
      <c r="C456" s="6" t="s">
        <v>15</v>
      </c>
      <c r="D456" s="6" t="s">
        <v>16</v>
      </c>
      <c r="E456" s="6" t="s">
        <v>25</v>
      </c>
      <c r="F456" s="6" t="s">
        <v>36</v>
      </c>
      <c r="G456" s="6" t="s">
        <v>37</v>
      </c>
      <c r="H456" s="6" t="s">
        <v>72</v>
      </c>
      <c r="I456" s="6">
        <v>1</v>
      </c>
      <c r="J456" s="6">
        <v>800</v>
      </c>
      <c r="K456" s="12">
        <v>5</v>
      </c>
      <c r="L456" s="13">
        <v>760</v>
      </c>
      <c r="M456" s="13">
        <v>553.54999999999995</v>
      </c>
      <c r="N456" s="6">
        <v>206.45</v>
      </c>
      <c r="O456" s="6" t="s">
        <v>28</v>
      </c>
      <c r="P456" s="14" t="s">
        <v>511</v>
      </c>
    </row>
    <row r="457" spans="1:16" ht="15.6" x14ac:dyDescent="0.3">
      <c r="A457" s="7" t="s">
        <v>512</v>
      </c>
      <c r="B457" s="8">
        <f t="shared" si="7"/>
        <v>45703</v>
      </c>
      <c r="C457" s="9" t="s">
        <v>30</v>
      </c>
      <c r="D457" s="9" t="s">
        <v>50</v>
      </c>
      <c r="E457" s="9" t="s">
        <v>25</v>
      </c>
      <c r="F457" s="9" t="s">
        <v>18</v>
      </c>
      <c r="G457" s="9" t="s">
        <v>26</v>
      </c>
      <c r="H457" s="9" t="s">
        <v>27</v>
      </c>
      <c r="I457" s="9">
        <v>9</v>
      </c>
      <c r="J457" s="9">
        <v>6000</v>
      </c>
      <c r="K457" s="15">
        <v>0</v>
      </c>
      <c r="L457" s="16">
        <v>54000</v>
      </c>
      <c r="M457" s="16">
        <v>39178.47</v>
      </c>
      <c r="N457" s="9">
        <v>14821.53</v>
      </c>
      <c r="O457" s="9" t="s">
        <v>21</v>
      </c>
      <c r="P457" s="17">
        <v>45703</v>
      </c>
    </row>
    <row r="458" spans="1:16" ht="15.6" x14ac:dyDescent="0.3">
      <c r="A458" s="4" t="s">
        <v>513</v>
      </c>
      <c r="B458" s="5">
        <f t="shared" si="7"/>
        <v>45840</v>
      </c>
      <c r="C458" s="6" t="s">
        <v>23</v>
      </c>
      <c r="D458" s="6" t="s">
        <v>58</v>
      </c>
      <c r="E458" s="6" t="s">
        <v>59</v>
      </c>
      <c r="F458" s="6" t="s">
        <v>18</v>
      </c>
      <c r="G458" s="6" t="s">
        <v>19</v>
      </c>
      <c r="H458" s="6" t="s">
        <v>52</v>
      </c>
      <c r="I458" s="6">
        <v>6</v>
      </c>
      <c r="J458" s="6">
        <v>1500</v>
      </c>
      <c r="K458" s="12">
        <v>15</v>
      </c>
      <c r="L458" s="13">
        <v>7650</v>
      </c>
      <c r="M458" s="13">
        <v>6536.16</v>
      </c>
      <c r="N458" s="6">
        <v>1113.8399999999999</v>
      </c>
      <c r="O458" s="6" t="s">
        <v>33</v>
      </c>
      <c r="P458" s="14">
        <v>45840</v>
      </c>
    </row>
    <row r="459" spans="1:16" ht="15.6" x14ac:dyDescent="0.3">
      <c r="A459" s="7" t="s">
        <v>514</v>
      </c>
      <c r="B459" s="8">
        <f t="shared" si="7"/>
        <v>45888</v>
      </c>
      <c r="C459" s="9" t="s">
        <v>15</v>
      </c>
      <c r="D459" s="9" t="s">
        <v>55</v>
      </c>
      <c r="E459" s="9" t="s">
        <v>48</v>
      </c>
      <c r="F459" s="9" t="s">
        <v>65</v>
      </c>
      <c r="G459" s="9" t="s">
        <v>37</v>
      </c>
      <c r="H459" s="9" t="s">
        <v>72</v>
      </c>
      <c r="I459" s="9">
        <v>6</v>
      </c>
      <c r="J459" s="9">
        <v>800</v>
      </c>
      <c r="K459" s="15">
        <v>5</v>
      </c>
      <c r="L459" s="16">
        <v>4560</v>
      </c>
      <c r="M459" s="16">
        <v>3502.87</v>
      </c>
      <c r="N459" s="9">
        <v>1057.1300000000001</v>
      </c>
      <c r="O459" s="9" t="s">
        <v>33</v>
      </c>
      <c r="P459" s="17">
        <v>45888</v>
      </c>
    </row>
    <row r="460" spans="1:16" ht="15.6" x14ac:dyDescent="0.3">
      <c r="A460" s="4" t="s">
        <v>515</v>
      </c>
      <c r="B460" s="5">
        <f t="shared" si="7"/>
        <v>45824</v>
      </c>
      <c r="C460" s="6" t="s">
        <v>23</v>
      </c>
      <c r="D460" s="6" t="s">
        <v>24</v>
      </c>
      <c r="E460" s="6" t="s">
        <v>48</v>
      </c>
      <c r="F460" s="6" t="s">
        <v>18</v>
      </c>
      <c r="G460" s="6" t="s">
        <v>19</v>
      </c>
      <c r="H460" s="6" t="s">
        <v>52</v>
      </c>
      <c r="I460" s="6">
        <v>7</v>
      </c>
      <c r="J460" s="6">
        <v>1500</v>
      </c>
      <c r="K460" s="12">
        <v>0</v>
      </c>
      <c r="L460" s="13">
        <v>10500</v>
      </c>
      <c r="M460" s="13">
        <v>7315.39</v>
      </c>
      <c r="N460" s="6">
        <v>3184.61</v>
      </c>
      <c r="O460" s="6" t="s">
        <v>44</v>
      </c>
      <c r="P460" s="14">
        <v>45824</v>
      </c>
    </row>
    <row r="461" spans="1:16" ht="15.6" x14ac:dyDescent="0.3">
      <c r="A461" s="7" t="s">
        <v>516</v>
      </c>
      <c r="B461" s="8">
        <f t="shared" si="7"/>
        <v>45846</v>
      </c>
      <c r="C461" s="9" t="s">
        <v>40</v>
      </c>
      <c r="D461" s="9" t="s">
        <v>61</v>
      </c>
      <c r="E461" s="9" t="s">
        <v>25</v>
      </c>
      <c r="F461" s="9" t="s">
        <v>42</v>
      </c>
      <c r="G461" s="9" t="s">
        <v>19</v>
      </c>
      <c r="H461" s="9" t="s">
        <v>43</v>
      </c>
      <c r="I461" s="9">
        <v>4</v>
      </c>
      <c r="J461" s="9">
        <v>55000</v>
      </c>
      <c r="K461" s="15">
        <v>15</v>
      </c>
      <c r="L461" s="16">
        <v>187000</v>
      </c>
      <c r="M461" s="16">
        <v>131547.51</v>
      </c>
      <c r="N461" s="9">
        <v>55452.49</v>
      </c>
      <c r="O461" s="9" t="s">
        <v>33</v>
      </c>
      <c r="P461" s="17">
        <v>45846</v>
      </c>
    </row>
    <row r="462" spans="1:16" ht="15.6" x14ac:dyDescent="0.3">
      <c r="A462" s="4" t="s">
        <v>517</v>
      </c>
      <c r="B462" s="5">
        <f t="shared" si="7"/>
        <v>45831</v>
      </c>
      <c r="C462" s="6" t="s">
        <v>30</v>
      </c>
      <c r="D462" s="6" t="s">
        <v>31</v>
      </c>
      <c r="E462" s="6" t="s">
        <v>32</v>
      </c>
      <c r="F462" s="6" t="s">
        <v>51</v>
      </c>
      <c r="G462" s="6" t="s">
        <v>19</v>
      </c>
      <c r="H462" s="6" t="s">
        <v>43</v>
      </c>
      <c r="I462" s="6">
        <v>4</v>
      </c>
      <c r="J462" s="6">
        <v>55000</v>
      </c>
      <c r="K462" s="12">
        <v>5</v>
      </c>
      <c r="L462" s="13">
        <v>209000</v>
      </c>
      <c r="M462" s="13">
        <v>158316.98000000001</v>
      </c>
      <c r="N462" s="6">
        <v>50683.02</v>
      </c>
      <c r="O462" s="6" t="s">
        <v>33</v>
      </c>
      <c r="P462" s="14">
        <v>45831</v>
      </c>
    </row>
    <row r="463" spans="1:16" ht="15.6" x14ac:dyDescent="0.3">
      <c r="A463" s="7" t="s">
        <v>518</v>
      </c>
      <c r="B463" s="8">
        <f t="shared" si="7"/>
        <v>45956</v>
      </c>
      <c r="C463" s="9" t="s">
        <v>40</v>
      </c>
      <c r="D463" s="9" t="s">
        <v>92</v>
      </c>
      <c r="E463" s="9" t="s">
        <v>25</v>
      </c>
      <c r="F463" s="9" t="s">
        <v>36</v>
      </c>
      <c r="G463" s="9" t="s">
        <v>26</v>
      </c>
      <c r="H463" s="9" t="s">
        <v>27</v>
      </c>
      <c r="I463" s="9">
        <v>3</v>
      </c>
      <c r="J463" s="9">
        <v>6000</v>
      </c>
      <c r="K463" s="15">
        <v>15</v>
      </c>
      <c r="L463" s="16">
        <v>15300</v>
      </c>
      <c r="M463" s="16">
        <v>12437.58</v>
      </c>
      <c r="N463" s="9">
        <v>2862.42</v>
      </c>
      <c r="O463" s="9" t="s">
        <v>21</v>
      </c>
      <c r="P463" s="17">
        <v>45956</v>
      </c>
    </row>
    <row r="464" spans="1:16" ht="15.6" x14ac:dyDescent="0.3">
      <c r="A464" s="4" t="s">
        <v>519</v>
      </c>
      <c r="B464" s="5">
        <f t="shared" si="7"/>
        <v>45868</v>
      </c>
      <c r="C464" s="6" t="s">
        <v>15</v>
      </c>
      <c r="D464" s="6" t="s">
        <v>55</v>
      </c>
      <c r="E464" s="6" t="s">
        <v>25</v>
      </c>
      <c r="F464" s="6" t="s">
        <v>36</v>
      </c>
      <c r="G464" s="6" t="s">
        <v>19</v>
      </c>
      <c r="H464" s="6" t="s">
        <v>43</v>
      </c>
      <c r="I464" s="6">
        <v>6</v>
      </c>
      <c r="J464" s="6">
        <v>55000</v>
      </c>
      <c r="K464" s="12">
        <v>10</v>
      </c>
      <c r="L464" s="13">
        <v>297000</v>
      </c>
      <c r="M464" s="13">
        <v>241767.16</v>
      </c>
      <c r="N464" s="6">
        <v>55232.84</v>
      </c>
      <c r="O464" s="6" t="s">
        <v>44</v>
      </c>
      <c r="P464" s="14">
        <v>45868</v>
      </c>
    </row>
    <row r="465" spans="1:16" ht="15.6" x14ac:dyDescent="0.3">
      <c r="A465" s="7" t="s">
        <v>520</v>
      </c>
      <c r="B465" s="8">
        <f t="shared" si="7"/>
        <v>45909</v>
      </c>
      <c r="C465" s="9" t="s">
        <v>40</v>
      </c>
      <c r="D465" s="9" t="s">
        <v>92</v>
      </c>
      <c r="E465" s="9" t="s">
        <v>32</v>
      </c>
      <c r="F465" s="9" t="s">
        <v>18</v>
      </c>
      <c r="G465" s="9" t="s">
        <v>37</v>
      </c>
      <c r="H465" s="9" t="s">
        <v>38</v>
      </c>
      <c r="I465" s="9">
        <v>3</v>
      </c>
      <c r="J465" s="9">
        <v>900</v>
      </c>
      <c r="K465" s="15">
        <v>15</v>
      </c>
      <c r="L465" s="16">
        <v>2295</v>
      </c>
      <c r="M465" s="16">
        <v>1861.78</v>
      </c>
      <c r="N465" s="9">
        <v>433.22</v>
      </c>
      <c r="O465" s="9" t="s">
        <v>44</v>
      </c>
      <c r="P465" s="17">
        <v>45909</v>
      </c>
    </row>
    <row r="466" spans="1:16" ht="15.6" x14ac:dyDescent="0.3">
      <c r="A466" s="4" t="s">
        <v>521</v>
      </c>
      <c r="B466" s="5">
        <f t="shared" si="7"/>
        <v>46002</v>
      </c>
      <c r="C466" s="6" t="s">
        <v>40</v>
      </c>
      <c r="D466" s="6" t="s">
        <v>61</v>
      </c>
      <c r="E466" s="6" t="s">
        <v>32</v>
      </c>
      <c r="F466" s="6" t="s">
        <v>18</v>
      </c>
      <c r="G466" s="6" t="s">
        <v>37</v>
      </c>
      <c r="H466" s="6" t="s">
        <v>56</v>
      </c>
      <c r="I466" s="6">
        <v>4</v>
      </c>
      <c r="J466" s="6">
        <v>2500</v>
      </c>
      <c r="K466" s="12">
        <v>5</v>
      </c>
      <c r="L466" s="13">
        <v>9500</v>
      </c>
      <c r="M466" s="13">
        <v>8367.9699999999993</v>
      </c>
      <c r="N466" s="6">
        <v>1132.03</v>
      </c>
      <c r="O466" s="6" t="s">
        <v>28</v>
      </c>
      <c r="P466" s="14">
        <v>46002</v>
      </c>
    </row>
    <row r="467" spans="1:16" ht="15.6" x14ac:dyDescent="0.3">
      <c r="A467" s="7" t="s">
        <v>522</v>
      </c>
      <c r="B467" s="8">
        <f t="shared" si="7"/>
        <v>45751</v>
      </c>
      <c r="C467" s="9" t="s">
        <v>40</v>
      </c>
      <c r="D467" s="9" t="s">
        <v>92</v>
      </c>
      <c r="E467" s="9" t="s">
        <v>48</v>
      </c>
      <c r="F467" s="9" t="s">
        <v>42</v>
      </c>
      <c r="G467" s="9" t="s">
        <v>26</v>
      </c>
      <c r="H467" s="9" t="s">
        <v>70</v>
      </c>
      <c r="I467" s="9">
        <v>10</v>
      </c>
      <c r="J467" s="9">
        <v>10000</v>
      </c>
      <c r="K467" s="15">
        <v>10</v>
      </c>
      <c r="L467" s="16">
        <v>90000</v>
      </c>
      <c r="M467" s="16">
        <v>62267.45</v>
      </c>
      <c r="N467" s="9">
        <v>27732.55</v>
      </c>
      <c r="O467" s="9" t="s">
        <v>28</v>
      </c>
      <c r="P467" s="17">
        <v>45751</v>
      </c>
    </row>
    <row r="468" spans="1:16" ht="15.6" x14ac:dyDescent="0.3">
      <c r="A468" s="4" t="s">
        <v>523</v>
      </c>
      <c r="B468" s="5">
        <f t="shared" si="7"/>
        <v>45676</v>
      </c>
      <c r="C468" s="6" t="s">
        <v>30</v>
      </c>
      <c r="D468" s="6" t="s">
        <v>50</v>
      </c>
      <c r="E468" s="6" t="s">
        <v>17</v>
      </c>
      <c r="F468" s="6" t="s">
        <v>62</v>
      </c>
      <c r="G468" s="6" t="s">
        <v>37</v>
      </c>
      <c r="H468" s="6" t="s">
        <v>72</v>
      </c>
      <c r="I468" s="6">
        <v>1</v>
      </c>
      <c r="J468" s="6">
        <v>800</v>
      </c>
      <c r="K468" s="12">
        <v>5</v>
      </c>
      <c r="L468" s="13">
        <v>760</v>
      </c>
      <c r="M468" s="13">
        <v>589.63</v>
      </c>
      <c r="N468" s="6">
        <v>170.37</v>
      </c>
      <c r="O468" s="6" t="s">
        <v>21</v>
      </c>
      <c r="P468" s="14">
        <v>45676</v>
      </c>
    </row>
    <row r="469" spans="1:16" ht="15.6" x14ac:dyDescent="0.3">
      <c r="A469" s="7" t="s">
        <v>524</v>
      </c>
      <c r="B469" s="8">
        <f t="shared" si="7"/>
        <v>45910</v>
      </c>
      <c r="C469" s="9" t="s">
        <v>15</v>
      </c>
      <c r="D469" s="9" t="s">
        <v>16</v>
      </c>
      <c r="E469" s="9" t="s">
        <v>59</v>
      </c>
      <c r="F469" s="9" t="s">
        <v>65</v>
      </c>
      <c r="G469" s="9" t="s">
        <v>37</v>
      </c>
      <c r="H469" s="9" t="s">
        <v>72</v>
      </c>
      <c r="I469" s="9">
        <v>3</v>
      </c>
      <c r="J469" s="9">
        <v>800</v>
      </c>
      <c r="K469" s="15">
        <v>10</v>
      </c>
      <c r="L469" s="16">
        <v>2160</v>
      </c>
      <c r="M469" s="16">
        <v>1558.05</v>
      </c>
      <c r="N469" s="9">
        <v>601.95000000000005</v>
      </c>
      <c r="O469" s="9" t="s">
        <v>21</v>
      </c>
      <c r="P469" s="17">
        <v>45910</v>
      </c>
    </row>
    <row r="470" spans="1:16" ht="15.6" x14ac:dyDescent="0.3">
      <c r="A470" s="4" t="s">
        <v>525</v>
      </c>
      <c r="B470" s="5">
        <f t="shared" si="7"/>
        <v>45928</v>
      </c>
      <c r="C470" s="6" t="s">
        <v>15</v>
      </c>
      <c r="D470" s="6" t="s">
        <v>16</v>
      </c>
      <c r="E470" s="6" t="s">
        <v>32</v>
      </c>
      <c r="F470" s="6" t="s">
        <v>62</v>
      </c>
      <c r="G470" s="6" t="s">
        <v>19</v>
      </c>
      <c r="H470" s="6" t="s">
        <v>52</v>
      </c>
      <c r="I470" s="6">
        <v>10</v>
      </c>
      <c r="J470" s="6">
        <v>1500</v>
      </c>
      <c r="K470" s="12">
        <v>10</v>
      </c>
      <c r="L470" s="13">
        <v>13500</v>
      </c>
      <c r="M470" s="13">
        <v>10497.87</v>
      </c>
      <c r="N470" s="6">
        <v>3002.13</v>
      </c>
      <c r="O470" s="6" t="s">
        <v>21</v>
      </c>
      <c r="P470" s="14">
        <v>45928</v>
      </c>
    </row>
    <row r="471" spans="1:16" ht="15.6" x14ac:dyDescent="0.3">
      <c r="A471" s="7" t="s">
        <v>526</v>
      </c>
      <c r="B471" s="8">
        <f t="shared" si="7"/>
        <v>45999</v>
      </c>
      <c r="C471" s="9" t="s">
        <v>23</v>
      </c>
      <c r="D471" s="9" t="s">
        <v>24</v>
      </c>
      <c r="E471" s="9" t="s">
        <v>17</v>
      </c>
      <c r="F471" s="9" t="s">
        <v>36</v>
      </c>
      <c r="G471" s="9" t="s">
        <v>19</v>
      </c>
      <c r="H471" s="9" t="s">
        <v>52</v>
      </c>
      <c r="I471" s="9">
        <v>8</v>
      </c>
      <c r="J471" s="9">
        <v>1500</v>
      </c>
      <c r="K471" s="15">
        <v>0</v>
      </c>
      <c r="L471" s="16">
        <v>12000</v>
      </c>
      <c r="M471" s="16">
        <v>9506.77</v>
      </c>
      <c r="N471" s="9">
        <v>2493.23</v>
      </c>
      <c r="O471" s="9" t="s">
        <v>44</v>
      </c>
      <c r="P471" s="17">
        <v>45999</v>
      </c>
    </row>
    <row r="472" spans="1:16" ht="15.6" x14ac:dyDescent="0.3">
      <c r="A472" s="4" t="s">
        <v>527</v>
      </c>
      <c r="B472" s="5">
        <f t="shared" si="7"/>
        <v>45956</v>
      </c>
      <c r="C472" s="6" t="s">
        <v>15</v>
      </c>
      <c r="D472" s="6" t="s">
        <v>16</v>
      </c>
      <c r="E472" s="6" t="s">
        <v>59</v>
      </c>
      <c r="F472" s="6" t="s">
        <v>18</v>
      </c>
      <c r="G472" s="6" t="s">
        <v>19</v>
      </c>
      <c r="H472" s="6" t="s">
        <v>43</v>
      </c>
      <c r="I472" s="6">
        <v>7</v>
      </c>
      <c r="J472" s="6">
        <v>55000</v>
      </c>
      <c r="K472" s="12">
        <v>5</v>
      </c>
      <c r="L472" s="13">
        <v>365750</v>
      </c>
      <c r="M472" s="13">
        <v>315666.78999999998</v>
      </c>
      <c r="N472" s="6">
        <v>50083.21</v>
      </c>
      <c r="O472" s="6" t="s">
        <v>21</v>
      </c>
      <c r="P472" s="14">
        <v>45956</v>
      </c>
    </row>
    <row r="473" spans="1:16" ht="15.6" x14ac:dyDescent="0.3">
      <c r="A473" s="7" t="s">
        <v>528</v>
      </c>
      <c r="B473" s="8">
        <f t="shared" si="7"/>
        <v>45711</v>
      </c>
      <c r="C473" s="9" t="s">
        <v>40</v>
      </c>
      <c r="D473" s="9" t="s">
        <v>61</v>
      </c>
      <c r="E473" s="9" t="s">
        <v>25</v>
      </c>
      <c r="F473" s="9" t="s">
        <v>18</v>
      </c>
      <c r="G473" s="9" t="s">
        <v>19</v>
      </c>
      <c r="H473" s="9" t="s">
        <v>20</v>
      </c>
      <c r="I473" s="9">
        <v>4</v>
      </c>
      <c r="J473" s="9">
        <v>12000</v>
      </c>
      <c r="K473" s="15">
        <v>10</v>
      </c>
      <c r="L473" s="16">
        <v>43200</v>
      </c>
      <c r="M473" s="16">
        <v>32132.09</v>
      </c>
      <c r="N473" s="9">
        <v>11067.91</v>
      </c>
      <c r="O473" s="9" t="s">
        <v>21</v>
      </c>
      <c r="P473" s="17">
        <v>45711</v>
      </c>
    </row>
    <row r="474" spans="1:16" ht="15.6" x14ac:dyDescent="0.3">
      <c r="A474" s="4" t="s">
        <v>529</v>
      </c>
      <c r="B474" s="5">
        <f t="shared" si="7"/>
        <v>46017</v>
      </c>
      <c r="C474" s="6" t="s">
        <v>15</v>
      </c>
      <c r="D474" s="6" t="s">
        <v>16</v>
      </c>
      <c r="E474" s="6" t="s">
        <v>32</v>
      </c>
      <c r="F474" s="6" t="s">
        <v>65</v>
      </c>
      <c r="G474" s="6" t="s">
        <v>26</v>
      </c>
      <c r="H474" s="6" t="s">
        <v>70</v>
      </c>
      <c r="I474" s="6">
        <v>5</v>
      </c>
      <c r="J474" s="6">
        <v>10000</v>
      </c>
      <c r="K474" s="12">
        <v>0</v>
      </c>
      <c r="L474" s="13">
        <v>50000</v>
      </c>
      <c r="M474" s="13">
        <v>39497.51</v>
      </c>
      <c r="N474" s="6">
        <v>10502.49</v>
      </c>
      <c r="O474" s="6" t="s">
        <v>44</v>
      </c>
      <c r="P474" s="14">
        <v>46017</v>
      </c>
    </row>
    <row r="475" spans="1:16" ht="15.6" x14ac:dyDescent="0.3">
      <c r="A475" s="7" t="s">
        <v>530</v>
      </c>
      <c r="B475" s="8">
        <f t="shared" si="7"/>
        <v>45797</v>
      </c>
      <c r="C475" s="9" t="s">
        <v>40</v>
      </c>
      <c r="D475" s="9" t="s">
        <v>61</v>
      </c>
      <c r="E475" s="9" t="s">
        <v>25</v>
      </c>
      <c r="F475" s="9" t="s">
        <v>42</v>
      </c>
      <c r="G475" s="9" t="s">
        <v>37</v>
      </c>
      <c r="H475" s="9" t="s">
        <v>72</v>
      </c>
      <c r="I475" s="9">
        <v>10</v>
      </c>
      <c r="J475" s="9">
        <v>800</v>
      </c>
      <c r="K475" s="15">
        <v>10</v>
      </c>
      <c r="L475" s="16">
        <v>7200</v>
      </c>
      <c r="M475" s="16">
        <v>5268.63</v>
      </c>
      <c r="N475" s="9">
        <v>1931.37</v>
      </c>
      <c r="O475" s="9" t="s">
        <v>33</v>
      </c>
      <c r="P475" s="17">
        <v>45797</v>
      </c>
    </row>
    <row r="476" spans="1:16" ht="15.6" x14ac:dyDescent="0.3">
      <c r="A476" s="4" t="s">
        <v>531</v>
      </c>
      <c r="B476" s="5">
        <f t="shared" si="7"/>
        <v>45971</v>
      </c>
      <c r="C476" s="6" t="s">
        <v>23</v>
      </c>
      <c r="D476" s="6" t="s">
        <v>24</v>
      </c>
      <c r="E476" s="6" t="s">
        <v>35</v>
      </c>
      <c r="F476" s="6" t="s">
        <v>65</v>
      </c>
      <c r="G476" s="6" t="s">
        <v>26</v>
      </c>
      <c r="H476" s="6" t="s">
        <v>27</v>
      </c>
      <c r="I476" s="6">
        <v>5</v>
      </c>
      <c r="J476" s="6">
        <v>6000</v>
      </c>
      <c r="K476" s="12">
        <v>10</v>
      </c>
      <c r="L476" s="13">
        <v>27000</v>
      </c>
      <c r="M476" s="13">
        <v>19344.13</v>
      </c>
      <c r="N476" s="6">
        <v>7655.87</v>
      </c>
      <c r="O476" s="6" t="s">
        <v>28</v>
      </c>
      <c r="P476" s="14">
        <v>45971</v>
      </c>
    </row>
    <row r="477" spans="1:16" ht="15.6" x14ac:dyDescent="0.3">
      <c r="A477" s="7" t="s">
        <v>532</v>
      </c>
      <c r="B477" s="8">
        <f t="shared" si="7"/>
        <v>45737</v>
      </c>
      <c r="C477" s="9" t="s">
        <v>30</v>
      </c>
      <c r="D477" s="9" t="s">
        <v>31</v>
      </c>
      <c r="E477" s="9" t="s">
        <v>59</v>
      </c>
      <c r="F477" s="9" t="s">
        <v>42</v>
      </c>
      <c r="G477" s="9" t="s">
        <v>19</v>
      </c>
      <c r="H477" s="9" t="s">
        <v>20</v>
      </c>
      <c r="I477" s="9">
        <v>8</v>
      </c>
      <c r="J477" s="9">
        <v>12000</v>
      </c>
      <c r="K477" s="15">
        <v>5</v>
      </c>
      <c r="L477" s="16">
        <v>91200</v>
      </c>
      <c r="M477" s="16">
        <v>64623.43</v>
      </c>
      <c r="N477" s="9">
        <v>26576.57</v>
      </c>
      <c r="O477" s="9" t="s">
        <v>21</v>
      </c>
      <c r="P477" s="17">
        <v>45737</v>
      </c>
    </row>
    <row r="478" spans="1:16" ht="15.6" x14ac:dyDescent="0.3">
      <c r="A478" s="4" t="s">
        <v>533</v>
      </c>
      <c r="B478" s="5">
        <f t="shared" si="7"/>
        <v>45838</v>
      </c>
      <c r="C478" s="6" t="s">
        <v>30</v>
      </c>
      <c r="D478" s="6" t="s">
        <v>31</v>
      </c>
      <c r="E478" s="6" t="s">
        <v>25</v>
      </c>
      <c r="F478" s="6" t="s">
        <v>65</v>
      </c>
      <c r="G478" s="6" t="s">
        <v>19</v>
      </c>
      <c r="H478" s="6" t="s">
        <v>20</v>
      </c>
      <c r="I478" s="6">
        <v>9</v>
      </c>
      <c r="J478" s="6">
        <v>12000</v>
      </c>
      <c r="K478" s="12">
        <v>5</v>
      </c>
      <c r="L478" s="13">
        <v>102600</v>
      </c>
      <c r="M478" s="13">
        <v>89713.51</v>
      </c>
      <c r="N478" s="6">
        <v>12886.49</v>
      </c>
      <c r="O478" s="6" t="s">
        <v>28</v>
      </c>
      <c r="P478" s="14">
        <v>45838</v>
      </c>
    </row>
    <row r="479" spans="1:16" ht="15.6" x14ac:dyDescent="0.3">
      <c r="A479" s="7" t="s">
        <v>534</v>
      </c>
      <c r="B479" s="8">
        <f t="shared" si="7"/>
        <v>45907</v>
      </c>
      <c r="C479" s="9" t="s">
        <v>40</v>
      </c>
      <c r="D479" s="9" t="s">
        <v>41</v>
      </c>
      <c r="E479" s="9" t="s">
        <v>17</v>
      </c>
      <c r="F479" s="9" t="s">
        <v>51</v>
      </c>
      <c r="G479" s="9" t="s">
        <v>26</v>
      </c>
      <c r="H479" s="9" t="s">
        <v>27</v>
      </c>
      <c r="I479" s="9">
        <v>4</v>
      </c>
      <c r="J479" s="9">
        <v>6000</v>
      </c>
      <c r="K479" s="15">
        <v>0</v>
      </c>
      <c r="L479" s="16">
        <v>24000</v>
      </c>
      <c r="M479" s="16">
        <v>21369.360000000001</v>
      </c>
      <c r="N479" s="9">
        <v>2630.64</v>
      </c>
      <c r="O479" s="9" t="s">
        <v>44</v>
      </c>
      <c r="P479" s="17">
        <v>45907</v>
      </c>
    </row>
    <row r="480" spans="1:16" ht="15.6" x14ac:dyDescent="0.3">
      <c r="A480" s="4" t="s">
        <v>535</v>
      </c>
      <c r="B480" s="5">
        <f t="shared" si="7"/>
        <v>45682</v>
      </c>
      <c r="C480" s="6" t="s">
        <v>30</v>
      </c>
      <c r="D480" s="6" t="s">
        <v>31</v>
      </c>
      <c r="E480" s="6" t="s">
        <v>32</v>
      </c>
      <c r="F480" s="6" t="s">
        <v>51</v>
      </c>
      <c r="G480" s="6" t="s">
        <v>26</v>
      </c>
      <c r="H480" s="6" t="s">
        <v>70</v>
      </c>
      <c r="I480" s="6">
        <v>9</v>
      </c>
      <c r="J480" s="6">
        <v>10000</v>
      </c>
      <c r="K480" s="12">
        <v>5</v>
      </c>
      <c r="L480" s="13">
        <v>85500</v>
      </c>
      <c r="M480" s="13">
        <v>68846.86</v>
      </c>
      <c r="N480" s="6">
        <v>16653.14</v>
      </c>
      <c r="O480" s="6" t="s">
        <v>44</v>
      </c>
      <c r="P480" s="14">
        <v>45682</v>
      </c>
    </row>
    <row r="481" spans="1:16" ht="15.6" x14ac:dyDescent="0.3">
      <c r="A481" s="7" t="s">
        <v>536</v>
      </c>
      <c r="B481" s="8">
        <f t="shared" si="7"/>
        <v>45703</v>
      </c>
      <c r="C481" s="9" t="s">
        <v>23</v>
      </c>
      <c r="D481" s="9" t="s">
        <v>58</v>
      </c>
      <c r="E481" s="9" t="s">
        <v>17</v>
      </c>
      <c r="F481" s="9" t="s">
        <v>65</v>
      </c>
      <c r="G481" s="9" t="s">
        <v>26</v>
      </c>
      <c r="H481" s="9" t="s">
        <v>27</v>
      </c>
      <c r="I481" s="9">
        <v>7</v>
      </c>
      <c r="J481" s="9">
        <v>6000</v>
      </c>
      <c r="K481" s="15">
        <v>15</v>
      </c>
      <c r="L481" s="16">
        <v>35700</v>
      </c>
      <c r="M481" s="16">
        <v>26341.84</v>
      </c>
      <c r="N481" s="9">
        <v>9358.16</v>
      </c>
      <c r="O481" s="9" t="s">
        <v>21</v>
      </c>
      <c r="P481" s="17">
        <v>45703</v>
      </c>
    </row>
    <row r="482" spans="1:16" ht="15.6" x14ac:dyDescent="0.3">
      <c r="A482" s="4" t="s">
        <v>537</v>
      </c>
      <c r="B482" s="5">
        <f t="shared" si="7"/>
        <v>45850</v>
      </c>
      <c r="C482" s="6" t="s">
        <v>23</v>
      </c>
      <c r="D482" s="6" t="s">
        <v>90</v>
      </c>
      <c r="E482" s="6" t="s">
        <v>35</v>
      </c>
      <c r="F482" s="6" t="s">
        <v>42</v>
      </c>
      <c r="G482" s="6" t="s">
        <v>37</v>
      </c>
      <c r="H482" s="6" t="s">
        <v>72</v>
      </c>
      <c r="I482" s="6">
        <v>9</v>
      </c>
      <c r="J482" s="6">
        <v>800</v>
      </c>
      <c r="K482" s="12">
        <v>0</v>
      </c>
      <c r="L482" s="13">
        <v>7200</v>
      </c>
      <c r="M482" s="13">
        <v>5357.74</v>
      </c>
      <c r="N482" s="6">
        <v>1842.26</v>
      </c>
      <c r="O482" s="6" t="s">
        <v>28</v>
      </c>
      <c r="P482" s="14">
        <v>45850</v>
      </c>
    </row>
    <row r="483" spans="1:16" ht="15.6" x14ac:dyDescent="0.3">
      <c r="A483" s="7" t="s">
        <v>538</v>
      </c>
      <c r="B483" s="8">
        <f t="shared" si="7"/>
        <v>45979</v>
      </c>
      <c r="C483" s="9" t="s">
        <v>15</v>
      </c>
      <c r="D483" s="9" t="s">
        <v>16</v>
      </c>
      <c r="E483" s="9" t="s">
        <v>48</v>
      </c>
      <c r="F483" s="9" t="s">
        <v>65</v>
      </c>
      <c r="G483" s="9" t="s">
        <v>37</v>
      </c>
      <c r="H483" s="9" t="s">
        <v>56</v>
      </c>
      <c r="I483" s="9">
        <v>5</v>
      </c>
      <c r="J483" s="9">
        <v>2500</v>
      </c>
      <c r="K483" s="15">
        <v>5</v>
      </c>
      <c r="L483" s="16">
        <v>11875</v>
      </c>
      <c r="M483" s="16">
        <v>9550.83</v>
      </c>
      <c r="N483" s="9">
        <v>2324.17</v>
      </c>
      <c r="O483" s="9" t="s">
        <v>44</v>
      </c>
      <c r="P483" s="17">
        <v>45979</v>
      </c>
    </row>
    <row r="484" spans="1:16" ht="15.6" x14ac:dyDescent="0.3">
      <c r="A484" s="4" t="s">
        <v>539</v>
      </c>
      <c r="B484" s="5">
        <f t="shared" si="7"/>
        <v>45671</v>
      </c>
      <c r="C484" s="6" t="s">
        <v>23</v>
      </c>
      <c r="D484" s="6" t="s">
        <v>58</v>
      </c>
      <c r="E484" s="6" t="s">
        <v>48</v>
      </c>
      <c r="F484" s="6" t="s">
        <v>42</v>
      </c>
      <c r="G484" s="6" t="s">
        <v>26</v>
      </c>
      <c r="H484" s="6" t="s">
        <v>27</v>
      </c>
      <c r="I484" s="6">
        <v>3</v>
      </c>
      <c r="J484" s="6">
        <v>6000</v>
      </c>
      <c r="K484" s="12">
        <v>0</v>
      </c>
      <c r="L484" s="13">
        <v>18000</v>
      </c>
      <c r="M484" s="13">
        <v>13263.34</v>
      </c>
      <c r="N484" s="6">
        <v>4736.66</v>
      </c>
      <c r="O484" s="6" t="s">
        <v>21</v>
      </c>
      <c r="P484" s="14">
        <v>45671</v>
      </c>
    </row>
    <row r="485" spans="1:16" ht="15.6" x14ac:dyDescent="0.3">
      <c r="A485" s="7" t="s">
        <v>540</v>
      </c>
      <c r="B485" s="8">
        <f t="shared" si="7"/>
        <v>45748</v>
      </c>
      <c r="C485" s="9" t="s">
        <v>40</v>
      </c>
      <c r="D485" s="9" t="s">
        <v>92</v>
      </c>
      <c r="E485" s="9" t="s">
        <v>59</v>
      </c>
      <c r="F485" s="9" t="s">
        <v>62</v>
      </c>
      <c r="G485" s="9" t="s">
        <v>37</v>
      </c>
      <c r="H485" s="9" t="s">
        <v>38</v>
      </c>
      <c r="I485" s="9">
        <v>8</v>
      </c>
      <c r="J485" s="9">
        <v>900</v>
      </c>
      <c r="K485" s="15">
        <v>5</v>
      </c>
      <c r="L485" s="16">
        <v>6840</v>
      </c>
      <c r="M485" s="16">
        <v>5836.64</v>
      </c>
      <c r="N485" s="9">
        <v>1003.36</v>
      </c>
      <c r="O485" s="9" t="s">
        <v>44</v>
      </c>
      <c r="P485" s="17">
        <v>45748</v>
      </c>
    </row>
    <row r="486" spans="1:16" ht="15.6" x14ac:dyDescent="0.3">
      <c r="A486" s="4" t="s">
        <v>541</v>
      </c>
      <c r="B486" s="5">
        <f t="shared" si="7"/>
        <v>45765</v>
      </c>
      <c r="C486" s="6" t="s">
        <v>30</v>
      </c>
      <c r="D486" s="6" t="s">
        <v>50</v>
      </c>
      <c r="E486" s="6" t="s">
        <v>32</v>
      </c>
      <c r="F486" s="6" t="s">
        <v>65</v>
      </c>
      <c r="G486" s="6" t="s">
        <v>26</v>
      </c>
      <c r="H486" s="6" t="s">
        <v>27</v>
      </c>
      <c r="I486" s="6">
        <v>5</v>
      </c>
      <c r="J486" s="6">
        <v>6000</v>
      </c>
      <c r="K486" s="12">
        <v>5</v>
      </c>
      <c r="L486" s="13">
        <v>28500</v>
      </c>
      <c r="M486" s="13">
        <v>22289.38</v>
      </c>
      <c r="N486" s="6">
        <v>6210.62</v>
      </c>
      <c r="O486" s="6" t="s">
        <v>28</v>
      </c>
      <c r="P486" s="14">
        <v>45765</v>
      </c>
    </row>
    <row r="487" spans="1:16" ht="15.6" x14ac:dyDescent="0.3">
      <c r="A487" s="7" t="s">
        <v>542</v>
      </c>
      <c r="B487" s="8">
        <f t="shared" si="7"/>
        <v>45682</v>
      </c>
      <c r="C487" s="9" t="s">
        <v>23</v>
      </c>
      <c r="D487" s="9" t="s">
        <v>24</v>
      </c>
      <c r="E487" s="9" t="s">
        <v>25</v>
      </c>
      <c r="F487" s="9" t="s">
        <v>42</v>
      </c>
      <c r="G487" s="9" t="s">
        <v>19</v>
      </c>
      <c r="H487" s="9" t="s">
        <v>20</v>
      </c>
      <c r="I487" s="9">
        <v>10</v>
      </c>
      <c r="J487" s="9">
        <v>12000</v>
      </c>
      <c r="K487" s="15">
        <v>15</v>
      </c>
      <c r="L487" s="16">
        <v>102000</v>
      </c>
      <c r="M487" s="16">
        <v>91494.44</v>
      </c>
      <c r="N487" s="9">
        <v>10505.56</v>
      </c>
      <c r="O487" s="9" t="s">
        <v>44</v>
      </c>
      <c r="P487" s="17">
        <v>45682</v>
      </c>
    </row>
    <row r="488" spans="1:16" ht="15.6" x14ac:dyDescent="0.3">
      <c r="A488" s="4" t="s">
        <v>543</v>
      </c>
      <c r="B488" s="5">
        <f t="shared" si="7"/>
        <v>45716</v>
      </c>
      <c r="C488" s="6" t="s">
        <v>23</v>
      </c>
      <c r="D488" s="6" t="s">
        <v>24</v>
      </c>
      <c r="E488" s="6" t="s">
        <v>17</v>
      </c>
      <c r="F488" s="6" t="s">
        <v>65</v>
      </c>
      <c r="G488" s="6" t="s">
        <v>26</v>
      </c>
      <c r="H488" s="6" t="s">
        <v>70</v>
      </c>
      <c r="I488" s="6">
        <v>1</v>
      </c>
      <c r="J488" s="6">
        <v>10000</v>
      </c>
      <c r="K488" s="12">
        <v>10</v>
      </c>
      <c r="L488" s="13">
        <v>9000</v>
      </c>
      <c r="M488" s="13">
        <v>6098.52</v>
      </c>
      <c r="N488" s="6">
        <v>2901.48</v>
      </c>
      <c r="O488" s="6" t="s">
        <v>44</v>
      </c>
      <c r="P488" s="14">
        <v>45716</v>
      </c>
    </row>
    <row r="489" spans="1:16" ht="15.6" x14ac:dyDescent="0.3">
      <c r="A489" s="7" t="s">
        <v>544</v>
      </c>
      <c r="B489" s="8">
        <f t="shared" si="7"/>
        <v>45723</v>
      </c>
      <c r="C489" s="9" t="s">
        <v>15</v>
      </c>
      <c r="D489" s="9" t="s">
        <v>55</v>
      </c>
      <c r="E489" s="9" t="s">
        <v>35</v>
      </c>
      <c r="F489" s="9" t="s">
        <v>65</v>
      </c>
      <c r="G489" s="9" t="s">
        <v>26</v>
      </c>
      <c r="H489" s="9" t="s">
        <v>70</v>
      </c>
      <c r="I489" s="9">
        <v>5</v>
      </c>
      <c r="J489" s="9">
        <v>10000</v>
      </c>
      <c r="K489" s="15">
        <v>5</v>
      </c>
      <c r="L489" s="16">
        <v>47500</v>
      </c>
      <c r="M489" s="16">
        <v>38310.480000000003</v>
      </c>
      <c r="N489" s="9">
        <v>9189.52</v>
      </c>
      <c r="O489" s="9" t="s">
        <v>44</v>
      </c>
      <c r="P489" s="17">
        <v>45723</v>
      </c>
    </row>
    <row r="490" spans="1:16" ht="15.6" x14ac:dyDescent="0.3">
      <c r="A490" s="4" t="s">
        <v>545</v>
      </c>
      <c r="B490" s="5">
        <f t="shared" si="7"/>
        <v>45832</v>
      </c>
      <c r="C490" s="6" t="s">
        <v>30</v>
      </c>
      <c r="D490" s="6" t="s">
        <v>31</v>
      </c>
      <c r="E490" s="6" t="s">
        <v>48</v>
      </c>
      <c r="F490" s="6" t="s">
        <v>36</v>
      </c>
      <c r="G490" s="6" t="s">
        <v>19</v>
      </c>
      <c r="H490" s="6" t="s">
        <v>52</v>
      </c>
      <c r="I490" s="6">
        <v>6</v>
      </c>
      <c r="J490" s="6">
        <v>1500</v>
      </c>
      <c r="K490" s="12">
        <v>0</v>
      </c>
      <c r="L490" s="13">
        <v>9000</v>
      </c>
      <c r="M490" s="13">
        <v>8083.31</v>
      </c>
      <c r="N490" s="6">
        <v>916.69</v>
      </c>
      <c r="O490" s="6" t="s">
        <v>44</v>
      </c>
      <c r="P490" s="14">
        <v>45832</v>
      </c>
    </row>
    <row r="491" spans="1:16" ht="15.6" x14ac:dyDescent="0.3">
      <c r="A491" s="7" t="s">
        <v>546</v>
      </c>
      <c r="B491" s="8">
        <f t="shared" si="7"/>
        <v>45873</v>
      </c>
      <c r="C491" s="9" t="s">
        <v>30</v>
      </c>
      <c r="D491" s="9" t="s">
        <v>50</v>
      </c>
      <c r="E491" s="9" t="s">
        <v>25</v>
      </c>
      <c r="F491" s="9" t="s">
        <v>51</v>
      </c>
      <c r="G491" s="9" t="s">
        <v>19</v>
      </c>
      <c r="H491" s="9" t="s">
        <v>43</v>
      </c>
      <c r="I491" s="9">
        <v>4</v>
      </c>
      <c r="J491" s="9">
        <v>55000</v>
      </c>
      <c r="K491" s="15">
        <v>0</v>
      </c>
      <c r="L491" s="16">
        <v>220000</v>
      </c>
      <c r="M491" s="16">
        <v>196896.4</v>
      </c>
      <c r="N491" s="9">
        <v>23103.599999999999</v>
      </c>
      <c r="O491" s="9" t="s">
        <v>21</v>
      </c>
      <c r="P491" s="17">
        <v>45873</v>
      </c>
    </row>
    <row r="492" spans="1:16" ht="15.6" x14ac:dyDescent="0.3">
      <c r="A492" s="4" t="s">
        <v>547</v>
      </c>
      <c r="B492" s="5">
        <f t="shared" si="7"/>
        <v>45764</v>
      </c>
      <c r="C492" s="6" t="s">
        <v>40</v>
      </c>
      <c r="D492" s="6" t="s">
        <v>61</v>
      </c>
      <c r="E492" s="6" t="s">
        <v>25</v>
      </c>
      <c r="F492" s="6" t="s">
        <v>18</v>
      </c>
      <c r="G492" s="6" t="s">
        <v>37</v>
      </c>
      <c r="H492" s="6" t="s">
        <v>72</v>
      </c>
      <c r="I492" s="6">
        <v>4</v>
      </c>
      <c r="J492" s="6">
        <v>800</v>
      </c>
      <c r="K492" s="12">
        <v>5</v>
      </c>
      <c r="L492" s="13">
        <v>3040</v>
      </c>
      <c r="M492" s="13">
        <v>1989.37</v>
      </c>
      <c r="N492" s="6">
        <v>1050.6300000000001</v>
      </c>
      <c r="O492" s="6" t="s">
        <v>44</v>
      </c>
      <c r="P492" s="14">
        <v>45764</v>
      </c>
    </row>
    <row r="493" spans="1:16" ht="15.6" x14ac:dyDescent="0.3">
      <c r="A493" s="7" t="s">
        <v>548</v>
      </c>
      <c r="B493" s="8">
        <f t="shared" si="7"/>
        <v>45714</v>
      </c>
      <c r="C493" s="9" t="s">
        <v>40</v>
      </c>
      <c r="D493" s="9" t="s">
        <v>41</v>
      </c>
      <c r="E493" s="9" t="s">
        <v>59</v>
      </c>
      <c r="F493" s="9" t="s">
        <v>62</v>
      </c>
      <c r="G493" s="9" t="s">
        <v>26</v>
      </c>
      <c r="H493" s="9" t="s">
        <v>27</v>
      </c>
      <c r="I493" s="9">
        <v>7</v>
      </c>
      <c r="J493" s="9">
        <v>6000</v>
      </c>
      <c r="K493" s="15">
        <v>10</v>
      </c>
      <c r="L493" s="16">
        <v>37800</v>
      </c>
      <c r="M493" s="16">
        <v>25119.27</v>
      </c>
      <c r="N493" s="9">
        <v>12680.73</v>
      </c>
      <c r="O493" s="9" t="s">
        <v>21</v>
      </c>
      <c r="P493" s="17">
        <v>45714</v>
      </c>
    </row>
    <row r="494" spans="1:16" ht="15.6" x14ac:dyDescent="0.3">
      <c r="A494" s="4" t="s">
        <v>549</v>
      </c>
      <c r="B494" s="5">
        <f t="shared" si="7"/>
        <v>45767</v>
      </c>
      <c r="C494" s="6" t="s">
        <v>23</v>
      </c>
      <c r="D494" s="6" t="s">
        <v>90</v>
      </c>
      <c r="E494" s="6" t="s">
        <v>35</v>
      </c>
      <c r="F494" s="6" t="s">
        <v>36</v>
      </c>
      <c r="G494" s="6" t="s">
        <v>26</v>
      </c>
      <c r="H494" s="6" t="s">
        <v>70</v>
      </c>
      <c r="I494" s="6">
        <v>5</v>
      </c>
      <c r="J494" s="6">
        <v>10000</v>
      </c>
      <c r="K494" s="12">
        <v>10</v>
      </c>
      <c r="L494" s="13">
        <v>45000</v>
      </c>
      <c r="M494" s="13">
        <v>35079.57</v>
      </c>
      <c r="N494" s="6">
        <v>9920.43</v>
      </c>
      <c r="O494" s="6" t="s">
        <v>44</v>
      </c>
      <c r="P494" s="14">
        <v>45767</v>
      </c>
    </row>
    <row r="495" spans="1:16" ht="15.6" x14ac:dyDescent="0.3">
      <c r="A495" s="7" t="s">
        <v>550</v>
      </c>
      <c r="B495" s="8">
        <f t="shared" si="7"/>
        <v>45945</v>
      </c>
      <c r="C495" s="9" t="s">
        <v>23</v>
      </c>
      <c r="D495" s="9" t="s">
        <v>90</v>
      </c>
      <c r="E495" s="9" t="s">
        <v>59</v>
      </c>
      <c r="F495" s="9" t="s">
        <v>42</v>
      </c>
      <c r="G495" s="9" t="s">
        <v>26</v>
      </c>
      <c r="H495" s="9" t="s">
        <v>70</v>
      </c>
      <c r="I495" s="9">
        <v>7</v>
      </c>
      <c r="J495" s="9">
        <v>10000</v>
      </c>
      <c r="K495" s="15">
        <v>15</v>
      </c>
      <c r="L495" s="16">
        <v>59500</v>
      </c>
      <c r="M495" s="16">
        <v>45330.27</v>
      </c>
      <c r="N495" s="9">
        <v>14169.73</v>
      </c>
      <c r="O495" s="9" t="s">
        <v>44</v>
      </c>
      <c r="P495" s="17">
        <v>45945</v>
      </c>
    </row>
    <row r="496" spans="1:16" ht="15.6" x14ac:dyDescent="0.3">
      <c r="A496" s="4" t="s">
        <v>551</v>
      </c>
      <c r="B496" s="5">
        <f t="shared" si="7"/>
        <v>45845</v>
      </c>
      <c r="C496" s="6" t="s">
        <v>40</v>
      </c>
      <c r="D496" s="6" t="s">
        <v>61</v>
      </c>
      <c r="E496" s="6" t="s">
        <v>32</v>
      </c>
      <c r="F496" s="6" t="s">
        <v>62</v>
      </c>
      <c r="G496" s="6" t="s">
        <v>37</v>
      </c>
      <c r="H496" s="6" t="s">
        <v>38</v>
      </c>
      <c r="I496" s="6">
        <v>5</v>
      </c>
      <c r="J496" s="6">
        <v>900</v>
      </c>
      <c r="K496" s="12">
        <v>10</v>
      </c>
      <c r="L496" s="13">
        <v>4050</v>
      </c>
      <c r="M496" s="13">
        <v>2849.51</v>
      </c>
      <c r="N496" s="6">
        <v>1200.49</v>
      </c>
      <c r="O496" s="6" t="s">
        <v>21</v>
      </c>
      <c r="P496" s="14">
        <v>45845</v>
      </c>
    </row>
    <row r="497" spans="1:16" ht="15.6" x14ac:dyDescent="0.3">
      <c r="A497" s="7" t="s">
        <v>552</v>
      </c>
      <c r="B497" s="8">
        <f t="shared" si="7"/>
        <v>46022</v>
      </c>
      <c r="C497" s="9" t="s">
        <v>23</v>
      </c>
      <c r="D497" s="9" t="s">
        <v>24</v>
      </c>
      <c r="E497" s="9" t="s">
        <v>35</v>
      </c>
      <c r="F497" s="9" t="s">
        <v>36</v>
      </c>
      <c r="G497" s="9" t="s">
        <v>19</v>
      </c>
      <c r="H497" s="9" t="s">
        <v>52</v>
      </c>
      <c r="I497" s="9">
        <v>8</v>
      </c>
      <c r="J497" s="9">
        <v>1500</v>
      </c>
      <c r="K497" s="15">
        <v>10</v>
      </c>
      <c r="L497" s="16">
        <v>10800</v>
      </c>
      <c r="M497" s="16">
        <v>7649.64</v>
      </c>
      <c r="N497" s="9">
        <v>3150.36</v>
      </c>
      <c r="O497" s="9" t="s">
        <v>44</v>
      </c>
      <c r="P497" s="17">
        <v>46022</v>
      </c>
    </row>
    <row r="498" spans="1:16" ht="15.6" x14ac:dyDescent="0.3">
      <c r="A498" s="4" t="s">
        <v>553</v>
      </c>
      <c r="B498" s="5">
        <f t="shared" si="7"/>
        <v>45660</v>
      </c>
      <c r="C498" s="6" t="s">
        <v>23</v>
      </c>
      <c r="D498" s="6" t="s">
        <v>24</v>
      </c>
      <c r="E498" s="6" t="s">
        <v>35</v>
      </c>
      <c r="F498" s="6" t="s">
        <v>18</v>
      </c>
      <c r="G498" s="6" t="s">
        <v>19</v>
      </c>
      <c r="H498" s="6" t="s">
        <v>43</v>
      </c>
      <c r="I498" s="6">
        <v>10</v>
      </c>
      <c r="J498" s="6">
        <v>55000</v>
      </c>
      <c r="K498" s="12">
        <v>10</v>
      </c>
      <c r="L498" s="13">
        <v>495000</v>
      </c>
      <c r="M498" s="13">
        <v>395817.72</v>
      </c>
      <c r="N498" s="6">
        <v>99182.28</v>
      </c>
      <c r="O498" s="6" t="s">
        <v>28</v>
      </c>
      <c r="P498" s="14">
        <v>45660</v>
      </c>
    </row>
    <row r="499" spans="1:16" ht="15.6" x14ac:dyDescent="0.3">
      <c r="A499" s="7" t="s">
        <v>554</v>
      </c>
      <c r="B499" s="8">
        <f t="shared" si="7"/>
        <v>45718</v>
      </c>
      <c r="C499" s="9" t="s">
        <v>30</v>
      </c>
      <c r="D499" s="9" t="s">
        <v>50</v>
      </c>
      <c r="E499" s="9" t="s">
        <v>17</v>
      </c>
      <c r="F499" s="9" t="s">
        <v>42</v>
      </c>
      <c r="G499" s="9" t="s">
        <v>19</v>
      </c>
      <c r="H499" s="9" t="s">
        <v>43</v>
      </c>
      <c r="I499" s="9">
        <v>1</v>
      </c>
      <c r="J499" s="9">
        <v>55000</v>
      </c>
      <c r="K499" s="15">
        <v>10</v>
      </c>
      <c r="L499" s="16">
        <v>49500</v>
      </c>
      <c r="M499" s="16">
        <v>39326.07</v>
      </c>
      <c r="N499" s="9">
        <v>10173.93</v>
      </c>
      <c r="O499" s="9" t="s">
        <v>28</v>
      </c>
      <c r="P499" s="17">
        <v>45718</v>
      </c>
    </row>
    <row r="500" spans="1:16" ht="15.6" x14ac:dyDescent="0.3">
      <c r="A500" s="4" t="s">
        <v>555</v>
      </c>
      <c r="B500" s="5">
        <f t="shared" si="7"/>
        <v>45807</v>
      </c>
      <c r="C500" s="6" t="s">
        <v>40</v>
      </c>
      <c r="D500" s="6" t="s">
        <v>41</v>
      </c>
      <c r="E500" s="6" t="s">
        <v>35</v>
      </c>
      <c r="F500" s="6" t="s">
        <v>36</v>
      </c>
      <c r="G500" s="6" t="s">
        <v>19</v>
      </c>
      <c r="H500" s="6" t="s">
        <v>20</v>
      </c>
      <c r="I500" s="6">
        <v>1</v>
      </c>
      <c r="J500" s="6">
        <v>12000</v>
      </c>
      <c r="K500" s="12">
        <v>5</v>
      </c>
      <c r="L500" s="13">
        <v>11400</v>
      </c>
      <c r="M500" s="13">
        <v>9641.4</v>
      </c>
      <c r="N500" s="6">
        <v>1758.6</v>
      </c>
      <c r="O500" s="6" t="s">
        <v>44</v>
      </c>
      <c r="P500" s="14">
        <v>45807</v>
      </c>
    </row>
    <row r="501" spans="1:16" ht="15.6" x14ac:dyDescent="0.3">
      <c r="A501" s="18" t="s">
        <v>556</v>
      </c>
      <c r="B501" s="19">
        <f t="shared" si="7"/>
        <v>45996</v>
      </c>
      <c r="C501" s="20" t="s">
        <v>15</v>
      </c>
      <c r="D501" s="20" t="s">
        <v>16</v>
      </c>
      <c r="E501" s="20" t="s">
        <v>48</v>
      </c>
      <c r="F501" s="20" t="s">
        <v>18</v>
      </c>
      <c r="G501" s="20" t="s">
        <v>19</v>
      </c>
      <c r="H501" s="20" t="s">
        <v>52</v>
      </c>
      <c r="I501" s="20">
        <v>8</v>
      </c>
      <c r="J501" s="20">
        <v>1500</v>
      </c>
      <c r="K501" s="21">
        <v>15</v>
      </c>
      <c r="L501" s="22">
        <v>10200</v>
      </c>
      <c r="M501" s="22">
        <v>6851.53</v>
      </c>
      <c r="N501" s="20">
        <v>3348.47</v>
      </c>
      <c r="O501" s="20" t="s">
        <v>21</v>
      </c>
      <c r="P501" s="23">
        <v>45996</v>
      </c>
    </row>
  </sheetData>
  <sheetProtection algorithmName="SHA-512" hashValue="Bqm9783hBYprRUrGE/mTuWjwTSvLS2YJKWrsfyOjKOVPzWg+UPBfqGNMBYK8qbnYuytH5PnZxT7pphtkbIo/rw==" saltValue="Sqa+C2LRzanvS3V+6g/68g=="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1F3E6-06A5-40FC-A235-3E9388CA475D}">
  <dimension ref="A3:B8"/>
  <sheetViews>
    <sheetView workbookViewId="0">
      <selection activeCell="L27" sqref="L27"/>
    </sheetView>
  </sheetViews>
  <sheetFormatPr defaultColWidth="14" defaultRowHeight="15.6" x14ac:dyDescent="0.3"/>
  <cols>
    <col min="1" max="1" width="12.5546875" style="25" bestFit="1" customWidth="1"/>
    <col min="2" max="2" width="12.88671875" style="25" bestFit="1" customWidth="1"/>
    <col min="3" max="16384" width="14" style="25"/>
  </cols>
  <sheetData>
    <row r="3" spans="1:2" x14ac:dyDescent="0.3">
      <c r="A3" s="24" t="s">
        <v>1</v>
      </c>
      <c r="B3" s="25" t="s">
        <v>557</v>
      </c>
    </row>
    <row r="4" spans="1:2" x14ac:dyDescent="0.3">
      <c r="A4" s="25" t="s">
        <v>30</v>
      </c>
      <c r="B4" s="25">
        <v>7568885</v>
      </c>
    </row>
    <row r="5" spans="1:2" x14ac:dyDescent="0.3">
      <c r="A5" s="25" t="s">
        <v>23</v>
      </c>
      <c r="B5" s="25">
        <v>6458590</v>
      </c>
    </row>
    <row r="6" spans="1:2" x14ac:dyDescent="0.3">
      <c r="A6" s="25" t="s">
        <v>40</v>
      </c>
      <c r="B6" s="25">
        <v>6106145</v>
      </c>
    </row>
    <row r="7" spans="1:2" x14ac:dyDescent="0.3">
      <c r="A7" s="25" t="s">
        <v>15</v>
      </c>
      <c r="B7" s="25">
        <v>7133380</v>
      </c>
    </row>
    <row r="8" spans="1:2" x14ac:dyDescent="0.3">
      <c r="A8" s="25" t="s">
        <v>559</v>
      </c>
      <c r="B8" s="25">
        <v>27267000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5047B-F4EE-40EB-8C74-638590C5CE60}">
  <dimension ref="A3:B7"/>
  <sheetViews>
    <sheetView workbookViewId="0">
      <selection activeCell="I24" sqref="I24"/>
    </sheetView>
  </sheetViews>
  <sheetFormatPr defaultColWidth="17.6640625" defaultRowHeight="15.6" x14ac:dyDescent="0.3"/>
  <cols>
    <col min="1" max="1" width="22.33203125" style="25" bestFit="1" customWidth="1"/>
    <col min="2" max="2" width="12.88671875" style="25" bestFit="1" customWidth="1"/>
    <col min="3" max="16384" width="17.6640625" style="25"/>
  </cols>
  <sheetData>
    <row r="3" spans="1:2" x14ac:dyDescent="0.3">
      <c r="A3" s="24" t="s">
        <v>575</v>
      </c>
      <c r="B3" s="25" t="s">
        <v>557</v>
      </c>
    </row>
    <row r="4" spans="1:2" x14ac:dyDescent="0.3">
      <c r="A4" s="25" t="s">
        <v>37</v>
      </c>
      <c r="B4" s="25">
        <v>1079625</v>
      </c>
    </row>
    <row r="5" spans="1:2" x14ac:dyDescent="0.3">
      <c r="A5" s="25" t="s">
        <v>19</v>
      </c>
      <c r="B5" s="25">
        <v>19563075</v>
      </c>
    </row>
    <row r="6" spans="1:2" x14ac:dyDescent="0.3">
      <c r="A6" s="25" t="s">
        <v>26</v>
      </c>
      <c r="B6" s="25">
        <v>6624300</v>
      </c>
    </row>
    <row r="7" spans="1:2" x14ac:dyDescent="0.3">
      <c r="A7" s="25" t="s">
        <v>559</v>
      </c>
      <c r="B7" s="25">
        <v>27267000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election activeCell="H25" sqref="H25"/>
    </sheetView>
  </sheetViews>
  <sheetFormatPr defaultColWidth="17.6640625" defaultRowHeight="15.6" x14ac:dyDescent="0.3"/>
  <cols>
    <col min="1" max="1" width="14.6640625" style="25" bestFit="1" customWidth="1"/>
    <col min="2" max="2" width="12.88671875" style="25" bestFit="1" customWidth="1"/>
    <col min="3" max="16384" width="17.6640625" style="25"/>
  </cols>
  <sheetData>
    <row r="1" spans="1:2" x14ac:dyDescent="0.3">
      <c r="A1" s="24" t="s">
        <v>576</v>
      </c>
      <c r="B1" s="25" t="s">
        <v>557</v>
      </c>
    </row>
    <row r="2" spans="1:2" x14ac:dyDescent="0.3">
      <c r="A2" s="25" t="s">
        <v>32</v>
      </c>
      <c r="B2" s="25">
        <v>3852455</v>
      </c>
    </row>
    <row r="3" spans="1:2" x14ac:dyDescent="0.3">
      <c r="A3" s="25" t="s">
        <v>35</v>
      </c>
      <c r="B3" s="25">
        <v>4902145</v>
      </c>
    </row>
    <row r="4" spans="1:2" x14ac:dyDescent="0.3">
      <c r="A4" s="25" t="s">
        <v>59</v>
      </c>
      <c r="B4" s="25">
        <v>4199565</v>
      </c>
    </row>
    <row r="5" spans="1:2" x14ac:dyDescent="0.3">
      <c r="A5" s="25" t="s">
        <v>17</v>
      </c>
      <c r="B5" s="25">
        <v>4987505</v>
      </c>
    </row>
    <row r="6" spans="1:2" x14ac:dyDescent="0.3">
      <c r="A6" s="25" t="s">
        <v>25</v>
      </c>
      <c r="B6" s="25">
        <v>5397500</v>
      </c>
    </row>
    <row r="7" spans="1:2" x14ac:dyDescent="0.3">
      <c r="A7" s="25" t="s">
        <v>48</v>
      </c>
      <c r="B7" s="25">
        <v>3927830</v>
      </c>
    </row>
    <row r="8" spans="1:2" x14ac:dyDescent="0.3">
      <c r="A8" s="25" t="s">
        <v>559</v>
      </c>
      <c r="B8" s="25">
        <v>27267000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workbookViewId="0">
      <selection activeCell="J27" sqref="J27"/>
    </sheetView>
  </sheetViews>
  <sheetFormatPr defaultColWidth="16" defaultRowHeight="15.6" x14ac:dyDescent="0.3"/>
  <cols>
    <col min="1" max="1" width="24.21875" style="25" bestFit="1" customWidth="1"/>
    <col min="2" max="2" width="12.88671875" style="25" bestFit="1" customWidth="1"/>
    <col min="3" max="16384" width="16" style="25"/>
  </cols>
  <sheetData>
    <row r="1" spans="1:2" x14ac:dyDescent="0.3">
      <c r="A1" s="24" t="s">
        <v>577</v>
      </c>
      <c r="B1" s="25" t="s">
        <v>557</v>
      </c>
    </row>
    <row r="2" spans="1:2" x14ac:dyDescent="0.3">
      <c r="A2" s="27" t="s">
        <v>560</v>
      </c>
      <c r="B2" s="25">
        <v>3534520</v>
      </c>
    </row>
    <row r="3" spans="1:2" x14ac:dyDescent="0.3">
      <c r="A3" s="27" t="s">
        <v>561</v>
      </c>
      <c r="B3" s="25">
        <v>1987300</v>
      </c>
    </row>
    <row r="4" spans="1:2" x14ac:dyDescent="0.3">
      <c r="A4" s="27" t="s">
        <v>562</v>
      </c>
      <c r="B4" s="25">
        <v>2852340</v>
      </c>
    </row>
    <row r="5" spans="1:2" x14ac:dyDescent="0.3">
      <c r="A5" s="27" t="s">
        <v>563</v>
      </c>
      <c r="B5" s="25">
        <v>1055105</v>
      </c>
    </row>
    <row r="6" spans="1:2" x14ac:dyDescent="0.3">
      <c r="A6" s="27" t="s">
        <v>564</v>
      </c>
      <c r="B6" s="25">
        <v>2068990</v>
      </c>
    </row>
    <row r="7" spans="1:2" x14ac:dyDescent="0.3">
      <c r="A7" s="27" t="s">
        <v>565</v>
      </c>
      <c r="B7" s="25">
        <v>1866665</v>
      </c>
    </row>
    <row r="8" spans="1:2" x14ac:dyDescent="0.3">
      <c r="A8" s="27" t="s">
        <v>566</v>
      </c>
      <c r="B8" s="25">
        <v>2558195</v>
      </c>
    </row>
    <row r="9" spans="1:2" x14ac:dyDescent="0.3">
      <c r="A9" s="27" t="s">
        <v>567</v>
      </c>
      <c r="B9" s="25">
        <v>2819720</v>
      </c>
    </row>
    <row r="10" spans="1:2" x14ac:dyDescent="0.3">
      <c r="A10" s="27" t="s">
        <v>568</v>
      </c>
      <c r="B10" s="25">
        <v>1674000</v>
      </c>
    </row>
    <row r="11" spans="1:2" x14ac:dyDescent="0.3">
      <c r="A11" s="27" t="s">
        <v>569</v>
      </c>
      <c r="B11" s="25">
        <v>1820415</v>
      </c>
    </row>
    <row r="12" spans="1:2" x14ac:dyDescent="0.3">
      <c r="A12" s="27" t="s">
        <v>570</v>
      </c>
      <c r="B12" s="25">
        <v>2732665</v>
      </c>
    </row>
    <row r="13" spans="1:2" x14ac:dyDescent="0.3">
      <c r="A13" s="27" t="s">
        <v>571</v>
      </c>
      <c r="B13" s="25">
        <v>2297085</v>
      </c>
    </row>
    <row r="14" spans="1:2" x14ac:dyDescent="0.3">
      <c r="A14" s="27" t="s">
        <v>559</v>
      </c>
      <c r="B14" s="25">
        <v>27267000</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EF725-E25A-40DF-AF6A-554BC18026C8}">
  <dimension ref="A3:B10"/>
  <sheetViews>
    <sheetView workbookViewId="0">
      <selection activeCell="A3" sqref="A3"/>
    </sheetView>
  </sheetViews>
  <sheetFormatPr defaultColWidth="16.33203125" defaultRowHeight="15.6" x14ac:dyDescent="0.3"/>
  <cols>
    <col min="1" max="1" width="14.6640625" style="25" bestFit="1" customWidth="1"/>
    <col min="2" max="2" width="12.88671875" style="25" bestFit="1" customWidth="1"/>
    <col min="3" max="16384" width="16.33203125" style="25"/>
  </cols>
  <sheetData>
    <row r="3" spans="1:2" x14ac:dyDescent="0.3">
      <c r="A3" s="24" t="s">
        <v>576</v>
      </c>
      <c r="B3" s="25" t="s">
        <v>557</v>
      </c>
    </row>
    <row r="4" spans="1:2" x14ac:dyDescent="0.3">
      <c r="A4" s="25" t="s">
        <v>48</v>
      </c>
      <c r="B4" s="25">
        <v>3927830</v>
      </c>
    </row>
    <row r="5" spans="1:2" x14ac:dyDescent="0.3">
      <c r="A5" s="25" t="s">
        <v>25</v>
      </c>
      <c r="B5" s="25">
        <v>5397500</v>
      </c>
    </row>
    <row r="6" spans="1:2" x14ac:dyDescent="0.3">
      <c r="A6" s="25" t="s">
        <v>17</v>
      </c>
      <c r="B6" s="25">
        <v>4987505</v>
      </c>
    </row>
    <row r="7" spans="1:2" x14ac:dyDescent="0.3">
      <c r="A7" s="25" t="s">
        <v>59</v>
      </c>
      <c r="B7" s="25">
        <v>4199565</v>
      </c>
    </row>
    <row r="8" spans="1:2" x14ac:dyDescent="0.3">
      <c r="A8" s="25" t="s">
        <v>35</v>
      </c>
      <c r="B8" s="25">
        <v>4902145</v>
      </c>
    </row>
    <row r="9" spans="1:2" x14ac:dyDescent="0.3">
      <c r="A9" s="25" t="s">
        <v>32</v>
      </c>
      <c r="B9" s="25">
        <v>3852455</v>
      </c>
    </row>
    <row r="10" spans="1:2" x14ac:dyDescent="0.3">
      <c r="A10" s="25" t="s">
        <v>559</v>
      </c>
      <c r="B10" s="25">
        <v>27267000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C9892-0090-4B0D-8AE9-28079CF38CD2}">
  <dimension ref="A3:B8"/>
  <sheetViews>
    <sheetView workbookViewId="0">
      <selection activeCell="G17" sqref="G17"/>
    </sheetView>
  </sheetViews>
  <sheetFormatPr defaultColWidth="23.5546875" defaultRowHeight="15.6" x14ac:dyDescent="0.3"/>
  <cols>
    <col min="1" max="1" width="12.5546875" style="25" bestFit="1" customWidth="1"/>
    <col min="2" max="2" width="13.88671875" style="26" bestFit="1" customWidth="1"/>
    <col min="3" max="16384" width="23.5546875" style="25"/>
  </cols>
  <sheetData>
    <row r="3" spans="1:2" x14ac:dyDescent="0.3">
      <c r="A3" s="24" t="s">
        <v>1</v>
      </c>
      <c r="B3" s="26" t="s">
        <v>574</v>
      </c>
    </row>
    <row r="4" spans="1:2" x14ac:dyDescent="0.3">
      <c r="A4" s="25" t="s">
        <v>30</v>
      </c>
      <c r="B4" s="26">
        <v>1736360.0699999996</v>
      </c>
    </row>
    <row r="5" spans="1:2" x14ac:dyDescent="0.3">
      <c r="A5" s="25" t="s">
        <v>23</v>
      </c>
      <c r="B5" s="26">
        <v>1440998.5099999998</v>
      </c>
    </row>
    <row r="6" spans="1:2" x14ac:dyDescent="0.3">
      <c r="A6" s="25" t="s">
        <v>40</v>
      </c>
      <c r="B6" s="26">
        <v>1498087.92</v>
      </c>
    </row>
    <row r="7" spans="1:2" x14ac:dyDescent="0.3">
      <c r="A7" s="25" t="s">
        <v>15</v>
      </c>
      <c r="B7" s="26">
        <v>1647427</v>
      </c>
    </row>
    <row r="8" spans="1:2" x14ac:dyDescent="0.3">
      <c r="A8" s="25" t="s">
        <v>559</v>
      </c>
      <c r="B8" s="26">
        <v>6322873.4999999991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60102-0510-46E4-8C28-161E055FB69F}">
  <dimension ref="A3:B7"/>
  <sheetViews>
    <sheetView workbookViewId="0">
      <selection activeCell="H14" sqref="H14"/>
    </sheetView>
  </sheetViews>
  <sheetFormatPr defaultColWidth="19.33203125" defaultRowHeight="15.6" x14ac:dyDescent="0.3"/>
  <cols>
    <col min="1" max="1" width="22.33203125" style="25" bestFit="1" customWidth="1"/>
    <col min="2" max="2" width="16.6640625" style="25" bestFit="1" customWidth="1"/>
    <col min="3" max="16384" width="19.33203125" style="25"/>
  </cols>
  <sheetData>
    <row r="3" spans="1:2" x14ac:dyDescent="0.3">
      <c r="A3" s="24" t="s">
        <v>575</v>
      </c>
      <c r="B3" s="25" t="s">
        <v>578</v>
      </c>
    </row>
    <row r="4" spans="1:2" x14ac:dyDescent="0.3">
      <c r="A4" s="25" t="s">
        <v>37</v>
      </c>
      <c r="B4" s="25">
        <v>291</v>
      </c>
    </row>
    <row r="5" spans="1:2" x14ac:dyDescent="0.3">
      <c r="A5" s="25" t="s">
        <v>19</v>
      </c>
      <c r="B5" s="25">
        <v>404</v>
      </c>
    </row>
    <row r="6" spans="1:2" x14ac:dyDescent="0.3">
      <c r="A6" s="25" t="s">
        <v>26</v>
      </c>
      <c r="B6" s="25">
        <v>338</v>
      </c>
    </row>
    <row r="7" spans="1:2" x14ac:dyDescent="0.3">
      <c r="A7" s="25" t="s">
        <v>559</v>
      </c>
      <c r="B7" s="25">
        <v>1033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17A67-0AE4-4548-9763-09DFDF385C09}">
  <dimension ref="A3:B20"/>
  <sheetViews>
    <sheetView workbookViewId="0">
      <selection activeCell="D22" sqref="D22"/>
    </sheetView>
  </sheetViews>
  <sheetFormatPr defaultColWidth="23.88671875" defaultRowHeight="15.6" x14ac:dyDescent="0.3"/>
  <cols>
    <col min="1" max="1" width="20.109375" style="25" bestFit="1" customWidth="1"/>
    <col min="2" max="2" width="12.88671875" style="25" bestFit="1" customWidth="1"/>
    <col min="3" max="16384" width="23.88671875" style="25"/>
  </cols>
  <sheetData>
    <row r="3" spans="1:2" x14ac:dyDescent="0.3">
      <c r="A3" s="24" t="s">
        <v>579</v>
      </c>
      <c r="B3" s="25" t="s">
        <v>557</v>
      </c>
    </row>
    <row r="4" spans="1:2" x14ac:dyDescent="0.3">
      <c r="A4" s="25" t="s">
        <v>23</v>
      </c>
      <c r="B4" s="25">
        <v>4092160</v>
      </c>
    </row>
    <row r="5" spans="1:2" x14ac:dyDescent="0.3">
      <c r="A5" s="25" t="s">
        <v>24</v>
      </c>
      <c r="B5" s="25">
        <v>2647825</v>
      </c>
    </row>
    <row r="6" spans="1:2" x14ac:dyDescent="0.3">
      <c r="A6" s="25" t="s">
        <v>90</v>
      </c>
      <c r="B6" s="25">
        <v>1444335</v>
      </c>
    </row>
    <row r="7" spans="1:2" x14ac:dyDescent="0.3">
      <c r="A7" s="25" t="s">
        <v>40</v>
      </c>
      <c r="B7" s="25">
        <v>3763580</v>
      </c>
    </row>
    <row r="8" spans="1:2" x14ac:dyDescent="0.3">
      <c r="A8" s="25" t="s">
        <v>41</v>
      </c>
      <c r="B8" s="25">
        <v>3763580</v>
      </c>
    </row>
    <row r="9" spans="1:2" x14ac:dyDescent="0.3">
      <c r="A9" s="25" t="s">
        <v>15</v>
      </c>
      <c r="B9" s="25">
        <v>3292765</v>
      </c>
    </row>
    <row r="10" spans="1:2" x14ac:dyDescent="0.3">
      <c r="A10" s="25" t="s">
        <v>16</v>
      </c>
      <c r="B10" s="25">
        <v>3292765</v>
      </c>
    </row>
    <row r="11" spans="1:2" x14ac:dyDescent="0.3">
      <c r="A11" s="25" t="s">
        <v>559</v>
      </c>
      <c r="B11" s="25">
        <v>11148505</v>
      </c>
    </row>
    <row r="12" spans="1:2" x14ac:dyDescent="0.3">
      <c r="A12"/>
      <c r="B12"/>
    </row>
    <row r="13" spans="1:2" x14ac:dyDescent="0.3">
      <c r="A13"/>
      <c r="B13"/>
    </row>
    <row r="14" spans="1:2" x14ac:dyDescent="0.3">
      <c r="A14"/>
      <c r="B14"/>
    </row>
    <row r="15" spans="1:2" x14ac:dyDescent="0.3">
      <c r="A15"/>
      <c r="B15"/>
    </row>
    <row r="16" spans="1:2" x14ac:dyDescent="0.3">
      <c r="A16"/>
      <c r="B16"/>
    </row>
    <row r="17" spans="1:2" x14ac:dyDescent="0.3">
      <c r="A17"/>
      <c r="B17"/>
    </row>
    <row r="18" spans="1:2" x14ac:dyDescent="0.3">
      <c r="A18"/>
      <c r="B18"/>
    </row>
    <row r="19" spans="1:2" x14ac:dyDescent="0.3">
      <c r="A19"/>
      <c r="B19"/>
    </row>
    <row r="20" spans="1:2" x14ac:dyDescent="0.3">
      <c r="A20"/>
      <c r="B20"/>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3F455-49AF-4EB6-93D2-1EEF8AFC951A}">
  <dimension ref="A3:A20"/>
  <sheetViews>
    <sheetView workbookViewId="0">
      <selection activeCell="M10" sqref="M10"/>
    </sheetView>
  </sheetViews>
  <sheetFormatPr defaultColWidth="9.109375" defaultRowHeight="15.6" x14ac:dyDescent="0.3"/>
  <cols>
    <col min="1" max="1" width="16.44140625" style="25" bestFit="1" customWidth="1"/>
    <col min="2" max="16384" width="9.109375" style="25"/>
  </cols>
  <sheetData>
    <row r="3" spans="1:1" x14ac:dyDescent="0.3">
      <c r="A3" s="24" t="s">
        <v>558</v>
      </c>
    </row>
    <row r="4" spans="1:1" x14ac:dyDescent="0.3">
      <c r="A4" s="25" t="s">
        <v>23</v>
      </c>
    </row>
    <row r="5" spans="1:1" x14ac:dyDescent="0.3">
      <c r="A5" s="25" t="s">
        <v>24</v>
      </c>
    </row>
    <row r="6" spans="1:1" x14ac:dyDescent="0.3">
      <c r="A6" s="25" t="s">
        <v>90</v>
      </c>
    </row>
    <row r="7" spans="1:1" x14ac:dyDescent="0.3">
      <c r="A7" s="25" t="s">
        <v>40</v>
      </c>
    </row>
    <row r="8" spans="1:1" x14ac:dyDescent="0.3">
      <c r="A8" s="25" t="s">
        <v>41</v>
      </c>
    </row>
    <row r="9" spans="1:1" x14ac:dyDescent="0.3">
      <c r="A9" s="25" t="s">
        <v>15</v>
      </c>
    </row>
    <row r="10" spans="1:1" x14ac:dyDescent="0.3">
      <c r="A10" s="25" t="s">
        <v>16</v>
      </c>
    </row>
    <row r="11" spans="1:1" x14ac:dyDescent="0.3">
      <c r="A11" s="25" t="s">
        <v>559</v>
      </c>
    </row>
    <row r="12" spans="1:1" x14ac:dyDescent="0.3">
      <c r="A12"/>
    </row>
    <row r="13" spans="1:1" x14ac:dyDescent="0.3">
      <c r="A13"/>
    </row>
    <row r="14" spans="1:1" x14ac:dyDescent="0.3">
      <c r="A14"/>
    </row>
    <row r="15" spans="1:1" x14ac:dyDescent="0.3">
      <c r="A15"/>
    </row>
    <row r="16" spans="1:1" x14ac:dyDescent="0.3">
      <c r="A16"/>
    </row>
    <row r="17" spans="1:1" x14ac:dyDescent="0.3">
      <c r="A17"/>
    </row>
    <row r="18" spans="1:1" x14ac:dyDescent="0.3">
      <c r="A18"/>
    </row>
    <row r="19" spans="1:1" x14ac:dyDescent="0.3">
      <c r="A19"/>
    </row>
    <row r="20" spans="1:1" x14ac:dyDescent="0.3">
      <c r="A20"/>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0E5A7-30C8-4996-9D94-5D2D1AED0E3A}">
  <dimension ref="A3:B8"/>
  <sheetViews>
    <sheetView workbookViewId="0">
      <selection activeCell="E15" sqref="E15"/>
    </sheetView>
  </sheetViews>
  <sheetFormatPr defaultColWidth="17.6640625" defaultRowHeight="15.6" x14ac:dyDescent="0.3"/>
  <cols>
    <col min="1" max="1" width="22.33203125" style="25" bestFit="1" customWidth="1"/>
    <col min="2" max="2" width="12.88671875" style="25" bestFit="1" customWidth="1"/>
    <col min="3" max="16384" width="17.6640625" style="25"/>
  </cols>
  <sheetData>
    <row r="3" spans="1:2" x14ac:dyDescent="0.3">
      <c r="A3" s="24" t="s">
        <v>575</v>
      </c>
      <c r="B3" s="25" t="s">
        <v>557</v>
      </c>
    </row>
    <row r="4" spans="1:2" x14ac:dyDescent="0.3">
      <c r="A4" s="25" t="s">
        <v>37</v>
      </c>
      <c r="B4" s="25">
        <v>1079625</v>
      </c>
    </row>
    <row r="5" spans="1:2" x14ac:dyDescent="0.3">
      <c r="A5" s="25" t="s">
        <v>19</v>
      </c>
      <c r="B5" s="25">
        <v>19563075</v>
      </c>
    </row>
    <row r="6" spans="1:2" x14ac:dyDescent="0.3">
      <c r="A6" s="25" t="s">
        <v>26</v>
      </c>
      <c r="B6" s="25">
        <v>6624300</v>
      </c>
    </row>
    <row r="7" spans="1:2" x14ac:dyDescent="0.3">
      <c r="A7" s="25" t="s">
        <v>559</v>
      </c>
      <c r="B7" s="25">
        <v>27267000</v>
      </c>
    </row>
    <row r="8" spans="1:2" x14ac:dyDescent="0.3">
      <c r="A8"/>
      <c r="B8"/>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DBFF7-D2A1-415B-8C5E-AB03C9DAF1F2}">
  <sheetPr>
    <pageSetUpPr autoPageBreaks="0"/>
  </sheetPr>
  <dimension ref="J1:T5"/>
  <sheetViews>
    <sheetView showGridLines="0" showRowColHeaders="0" tabSelected="1" zoomScale="50" zoomScaleNormal="50" workbookViewId="0">
      <selection activeCell="AH18" sqref="AH18"/>
    </sheetView>
  </sheetViews>
  <sheetFormatPr defaultRowHeight="14.4" x14ac:dyDescent="0.3"/>
  <sheetData>
    <row r="1" spans="10:20" ht="15" customHeight="1" x14ac:dyDescent="0.3">
      <c r="J1" s="28"/>
      <c r="K1" s="28"/>
      <c r="L1" s="28"/>
      <c r="M1" s="28"/>
      <c r="N1" s="28"/>
      <c r="O1" s="28"/>
      <c r="P1" s="28"/>
      <c r="Q1" s="28"/>
      <c r="R1" s="28"/>
      <c r="S1" s="28"/>
      <c r="T1" s="28"/>
    </row>
    <row r="2" spans="10:20" ht="15" customHeight="1" x14ac:dyDescent="0.3">
      <c r="J2" s="29" t="s">
        <v>580</v>
      </c>
      <c r="K2" s="30"/>
      <c r="L2" s="30"/>
      <c r="M2" s="30"/>
      <c r="N2" s="30"/>
      <c r="O2" s="30"/>
      <c r="P2" s="30"/>
      <c r="Q2" s="30"/>
      <c r="R2" s="31"/>
      <c r="S2" s="28"/>
      <c r="T2" s="28"/>
    </row>
    <row r="3" spans="10:20" ht="15" customHeight="1" x14ac:dyDescent="0.3">
      <c r="J3" s="32"/>
      <c r="K3" s="33"/>
      <c r="L3" s="33"/>
      <c r="M3" s="33"/>
      <c r="N3" s="33"/>
      <c r="O3" s="33"/>
      <c r="P3" s="33"/>
      <c r="Q3" s="33"/>
      <c r="R3" s="34"/>
      <c r="S3" s="28"/>
      <c r="T3" s="28"/>
    </row>
    <row r="4" spans="10:20" ht="15" customHeight="1" x14ac:dyDescent="0.3">
      <c r="J4" s="35"/>
      <c r="K4" s="36"/>
      <c r="L4" s="36"/>
      <c r="M4" s="36"/>
      <c r="N4" s="36"/>
      <c r="O4" s="36"/>
      <c r="P4" s="36"/>
      <c r="Q4" s="36"/>
      <c r="R4" s="37"/>
      <c r="S4" s="28"/>
    </row>
    <row r="5" spans="10:20" ht="15" customHeight="1" x14ac:dyDescent="0.3">
      <c r="K5" s="28"/>
      <c r="L5" s="28"/>
      <c r="M5" s="28"/>
      <c r="N5" s="28"/>
      <c r="O5" s="28"/>
      <c r="P5" s="28"/>
      <c r="Q5" s="28"/>
      <c r="R5" s="28"/>
      <c r="S5" s="28"/>
    </row>
  </sheetData>
  <mergeCells count="1">
    <mergeCell ref="J2:R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SalesData</vt:lpstr>
      <vt:lpstr>Pivot 1</vt:lpstr>
      <vt:lpstr>Pivot 2</vt:lpstr>
      <vt:lpstr>Pivot 3</vt:lpstr>
      <vt:lpstr>Pivot 4</vt:lpstr>
      <vt:lpstr>Pivot 5</vt:lpstr>
      <vt:lpstr>Pivot 6</vt:lpstr>
      <vt:lpstr>pivot 7</vt:lpstr>
      <vt:lpstr>pivot 8</vt:lpstr>
      <vt:lpstr>slicer 1</vt:lpstr>
      <vt:lpstr>slicer 2</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Yaswanth S S</cp:lastModifiedBy>
  <dcterms:created xsi:type="dcterms:W3CDTF">2026-07-22T10:40:41Z</dcterms:created>
  <dcterms:modified xsi:type="dcterms:W3CDTF">2026-07-24T12:43:56Z</dcterms:modified>
</cp:coreProperties>
</file>